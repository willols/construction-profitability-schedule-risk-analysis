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hidePivotFieldList="1" defaultThemeVersion="166925"/>
  <mc:AlternateContent xmlns:mc="http://schemas.openxmlformats.org/markup-compatibility/2006">
    <mc:Choice Requires="x15">
      <x15ac:absPath xmlns:x15ac="http://schemas.microsoft.com/office/spreadsheetml/2010/11/ac" url="D:\working\waccache\BL6PEPF00019958\EXCELCNV\97985718-2b06-46f5-9980-445152e9f7c0\"/>
    </mc:Choice>
  </mc:AlternateContent>
  <xr:revisionPtr revIDLastSave="0" documentId="8_{BD1C6060-2954-46C6-9E80-C05CC76496B9}" xr6:coauthVersionLast="47" xr6:coauthVersionMax="47" xr10:uidLastSave="{00000000-0000-0000-0000-000000000000}"/>
  <bookViews>
    <workbookView xWindow="-60" yWindow="-60" windowWidth="15480" windowHeight="11640" xr2:uid="{F2B1689D-4C3A-4988-B541-52D4EE18A4DE}"/>
  </bookViews>
  <sheets>
    <sheet name="Budget vs Actual" sheetId="1" r:id="rId1"/>
    <sheet name="Project Summary" sheetId="2" r:id="rId2"/>
    <sheet name="Report Notes" sheetId="3" r:id="rId3"/>
  </sheets>
  <calcPr calcId="191028"/>
  <pivotCaches>
    <pivotCache cacheId="5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1" l="1"/>
  <c r="L3" i="1"/>
  <c r="L2" i="1"/>
</calcChain>
</file>

<file path=xl/sharedStrings.xml><?xml version="1.0" encoding="utf-8"?>
<sst xmlns="http://schemas.openxmlformats.org/spreadsheetml/2006/main" count="2144" uniqueCount="228">
  <si>
    <t>project_id</t>
  </si>
  <si>
    <t>project_name</t>
  </si>
  <si>
    <t>cost_category</t>
  </si>
  <si>
    <t>revised_budget</t>
  </si>
  <si>
    <t>original_budget_missing_flag</t>
  </si>
  <si>
    <t>orphan_project_flag</t>
  </si>
  <si>
    <t>pending_exposure</t>
  </si>
  <si>
    <t>incurred_cost</t>
  </si>
  <si>
    <t>budget_remaining</t>
  </si>
  <si>
    <t>no_matching_transactions_flag</t>
  </si>
  <si>
    <t>Import validation total</t>
  </si>
  <si>
    <t>P001</t>
  </si>
  <si>
    <t>Juniper Retail 01</t>
  </si>
  <si>
    <t>Labor</t>
  </si>
  <si>
    <t>Revised budget</t>
  </si>
  <si>
    <t>P004</t>
  </si>
  <si>
    <t>Juniper Medical 04</t>
  </si>
  <si>
    <t>Pending exposure</t>
  </si>
  <si>
    <t>P006</t>
  </si>
  <si>
    <t>Granite Commons 06</t>
  </si>
  <si>
    <t>Incurred cost</t>
  </si>
  <si>
    <t>P011</t>
  </si>
  <si>
    <t>Granite Residences 11</t>
  </si>
  <si>
    <t>P013</t>
  </si>
  <si>
    <t>Aspen Renovation 13</t>
  </si>
  <si>
    <t>P016</t>
  </si>
  <si>
    <t>Wasatch Lodge 16</t>
  </si>
  <si>
    <t>P033</t>
  </si>
  <si>
    <t>Bonneville Retail 33</t>
  </si>
  <si>
    <t>P026</t>
  </si>
  <si>
    <t>Granite Commons 26</t>
  </si>
  <si>
    <t>P077</t>
  </si>
  <si>
    <t>Canyon Residences 77</t>
  </si>
  <si>
    <t>P083</t>
  </si>
  <si>
    <t>Wasatch Renovation 83</t>
  </si>
  <si>
    <t>P095</t>
  </si>
  <si>
    <t>Summit Lodge 95</t>
  </si>
  <si>
    <t>P003</t>
  </si>
  <si>
    <t>Summit Center 03</t>
  </si>
  <si>
    <t>P034</t>
  </si>
  <si>
    <t>Bonneville Office 34</t>
  </si>
  <si>
    <t>P038</t>
  </si>
  <si>
    <t>Canyon Renovation 38</t>
  </si>
  <si>
    <t>P039</t>
  </si>
  <si>
    <t>Granite Commons 39</t>
  </si>
  <si>
    <t>P058</t>
  </si>
  <si>
    <t>Bonneville Medical 58</t>
  </si>
  <si>
    <t>P063</t>
  </si>
  <si>
    <t>Summit Office 63</t>
  </si>
  <si>
    <t>P066</t>
  </si>
  <si>
    <t>Canyon Medical 66</t>
  </si>
  <si>
    <t>P076</t>
  </si>
  <si>
    <t>Granite Center 76</t>
  </si>
  <si>
    <t>P078</t>
  </si>
  <si>
    <t>Aspen Residences 78</t>
  </si>
  <si>
    <t>P091</t>
  </si>
  <si>
    <t>Granite Medical 91</t>
  </si>
  <si>
    <t>P093</t>
  </si>
  <si>
    <t>Granite Office 93</t>
  </si>
  <si>
    <t>P048</t>
  </si>
  <si>
    <t>Bonneville Office 48</t>
  </si>
  <si>
    <t>P049</t>
  </si>
  <si>
    <t>Wasatch Commons 49</t>
  </si>
  <si>
    <t>P068</t>
  </si>
  <si>
    <t>Aspen Lodge 68</t>
  </si>
  <si>
    <t>P074</t>
  </si>
  <si>
    <t>Copper Center 74</t>
  </si>
  <si>
    <t>P084</t>
  </si>
  <si>
    <t>Bonneville Renovation 84</t>
  </si>
  <si>
    <t>P087</t>
  </si>
  <si>
    <t>Copper Office 87</t>
  </si>
  <si>
    <t>P009</t>
  </si>
  <si>
    <t>Wasatch Retail 09</t>
  </si>
  <si>
    <t>P029</t>
  </si>
  <si>
    <t>Copper Center 29</t>
  </si>
  <si>
    <t>P055</t>
  </si>
  <si>
    <t>Canyon Lodge 55</t>
  </si>
  <si>
    <t>P023</t>
  </si>
  <si>
    <t>Summit Office 23</t>
  </si>
  <si>
    <t>P031</t>
  </si>
  <si>
    <t>Summit Lodge 31</t>
  </si>
  <si>
    <t>P044</t>
  </si>
  <si>
    <t>Copper Medical 44</t>
  </si>
  <si>
    <t>P047</t>
  </si>
  <si>
    <t>Granite Lodge 47</t>
  </si>
  <si>
    <t>P054</t>
  </si>
  <si>
    <t>Granite Office 54</t>
  </si>
  <si>
    <t>P012</t>
  </si>
  <si>
    <t>Canyon Retail 12</t>
  </si>
  <si>
    <t>P035</t>
  </si>
  <si>
    <t>Aspen Office 35</t>
  </si>
  <si>
    <t>P061</t>
  </si>
  <si>
    <t>Summit Center 61</t>
  </si>
  <si>
    <t>P071</t>
  </si>
  <si>
    <t>Wasatch Office 71</t>
  </si>
  <si>
    <t>P090</t>
  </si>
  <si>
    <t>Canyon Office 90</t>
  </si>
  <si>
    <t>P007</t>
  </si>
  <si>
    <t>Wasatch Renovation 07</t>
  </si>
  <si>
    <t>P008</t>
  </si>
  <si>
    <t>Bonneville Renovation 08</t>
  </si>
  <si>
    <t>P020</t>
  </si>
  <si>
    <t>Wasatch Commons 20</t>
  </si>
  <si>
    <t>P028</t>
  </si>
  <si>
    <t>Copper Office 28</t>
  </si>
  <si>
    <t>P043</t>
  </si>
  <si>
    <t>Granite Medical 43</t>
  </si>
  <si>
    <t>P046</t>
  </si>
  <si>
    <t>Granite Lodge 46</t>
  </si>
  <si>
    <t>P056</t>
  </si>
  <si>
    <t>Wasatch Office 56</t>
  </si>
  <si>
    <t>P065</t>
  </si>
  <si>
    <t>Aspen Lodge 65</t>
  </si>
  <si>
    <t>P075</t>
  </si>
  <si>
    <t>Granite Lodge 75</t>
  </si>
  <si>
    <t>P080</t>
  </si>
  <si>
    <t>Aspen Lodge 80</t>
  </si>
  <si>
    <t>P094</t>
  </si>
  <si>
    <t>Copper Commons 94</t>
  </si>
  <si>
    <t>P041</t>
  </si>
  <si>
    <t>Canyon Office 41</t>
  </si>
  <si>
    <t>P050</t>
  </si>
  <si>
    <t>Granite Lodge 50</t>
  </si>
  <si>
    <t>P051</t>
  </si>
  <si>
    <t>Aspen Retail 51</t>
  </si>
  <si>
    <t>P018</t>
  </si>
  <si>
    <t>Wasatch Renovation 18</t>
  </si>
  <si>
    <t>P025</t>
  </si>
  <si>
    <t>Aspen Medical 25</t>
  </si>
  <si>
    <t>P032</t>
  </si>
  <si>
    <t>Granite Residences 32</t>
  </si>
  <si>
    <t>P040</t>
  </si>
  <si>
    <t>Summit Commons 40</t>
  </si>
  <si>
    <t>P064</t>
  </si>
  <si>
    <t>Juniper Commons 64</t>
  </si>
  <si>
    <t>P092</t>
  </si>
  <si>
    <t>Copper Retail 92</t>
  </si>
  <si>
    <t>P014</t>
  </si>
  <si>
    <t>Bonneville Lodge 14</t>
  </si>
  <si>
    <t>P015</t>
  </si>
  <si>
    <t>Juniper Residences 15</t>
  </si>
  <si>
    <t>P030</t>
  </si>
  <si>
    <t>Granite Center 30</t>
  </si>
  <si>
    <t>P037</t>
  </si>
  <si>
    <t>Wasatch Medical 37</t>
  </si>
  <si>
    <t>P067</t>
  </si>
  <si>
    <t>Copper Office 67</t>
  </si>
  <si>
    <t>P069</t>
  </si>
  <si>
    <t>Bonneville Retail 69</t>
  </si>
  <si>
    <t>P096</t>
  </si>
  <si>
    <t>Granite Center 96</t>
  </si>
  <si>
    <t>P010</t>
  </si>
  <si>
    <t>Juniper Office 10</t>
  </si>
  <si>
    <t>P052</t>
  </si>
  <si>
    <t>Summit Medical 52</t>
  </si>
  <si>
    <t>P089</t>
  </si>
  <si>
    <t>Aspen Center 89</t>
  </si>
  <si>
    <t>P024</t>
  </si>
  <si>
    <t>Aspen Retail 24</t>
  </si>
  <si>
    <t>P070</t>
  </si>
  <si>
    <t>Granite Commons 70</t>
  </si>
  <si>
    <t>P072</t>
  </si>
  <si>
    <t>Aspen Office 72</t>
  </si>
  <si>
    <t>P073</t>
  </si>
  <si>
    <t>Canyon Commons 73</t>
  </si>
  <si>
    <t>P086</t>
  </si>
  <si>
    <t>Copper Center 86</t>
  </si>
  <si>
    <t>P005</t>
  </si>
  <si>
    <t>Summit Residences 05</t>
  </si>
  <si>
    <t>P017</t>
  </si>
  <si>
    <t>Summit Retail 17</t>
  </si>
  <si>
    <t>P022</t>
  </si>
  <si>
    <t>Juniper Medical 22</t>
  </si>
  <si>
    <t>P057</t>
  </si>
  <si>
    <t>Juniper Commons 57</t>
  </si>
  <si>
    <t>P059</t>
  </si>
  <si>
    <t>Aspen Residences 59</t>
  </si>
  <si>
    <t>P060</t>
  </si>
  <si>
    <t>Canyon Retail 60</t>
  </si>
  <si>
    <t>P079</t>
  </si>
  <si>
    <t>Canyon Center 79</t>
  </si>
  <si>
    <t>P019</t>
  </si>
  <si>
    <t>Wasatch Center 19</t>
  </si>
  <si>
    <t>P027</t>
  </si>
  <si>
    <t>Canyon Renovation 27</t>
  </si>
  <si>
    <t>P042</t>
  </si>
  <si>
    <t>Juniper Residences 42</t>
  </si>
  <si>
    <t>P045</t>
  </si>
  <si>
    <t>Bonneville Office 45</t>
  </si>
  <si>
    <t>P053</t>
  </si>
  <si>
    <t>Wasatch Center 53</t>
  </si>
  <si>
    <t>P085</t>
  </si>
  <si>
    <t>Summit Residences 85</t>
  </si>
  <si>
    <t>P088</t>
  </si>
  <si>
    <t>Copper Center 88</t>
  </si>
  <si>
    <t>P002</t>
  </si>
  <si>
    <t>Wasatch Renovation 02</t>
  </si>
  <si>
    <t>P021</t>
  </si>
  <si>
    <t>Copper Center 21</t>
  </si>
  <si>
    <t>P036</t>
  </si>
  <si>
    <t>Bonneville Commons 36</t>
  </si>
  <si>
    <t>P062</t>
  </si>
  <si>
    <t>Granite Residences 62</t>
  </si>
  <si>
    <t>P081</t>
  </si>
  <si>
    <t>Canyon Center 81</t>
  </si>
  <si>
    <t>P082</t>
  </si>
  <si>
    <t>Wasatch Retail 82</t>
  </si>
  <si>
    <t>Materials</t>
  </si>
  <si>
    <t>Subcontractors</t>
  </si>
  <si>
    <t>Equipment</t>
  </si>
  <si>
    <t>General Conditions</t>
  </si>
  <si>
    <t>Other</t>
  </si>
  <si>
    <t>Permits &amp; Fees</t>
  </si>
  <si>
    <t>P997</t>
  </si>
  <si>
    <t>Project Budget vs Actual - June 30, 2026</t>
  </si>
  <si>
    <t>P997 has no matching master project record; totals include its $42,000 budget.</t>
  </si>
  <si>
    <t>Sum of revised_budget</t>
  </si>
  <si>
    <t>Sum of incurred_cost</t>
  </si>
  <si>
    <t>Sum of pending_exposure</t>
  </si>
  <si>
    <t>Sum of budget_remaining</t>
  </si>
  <si>
    <t>Grand Total</t>
  </si>
  <si>
    <t>Report Notes</t>
  </si>
  <si>
    <t>This table summarizes revised budget, incurred costs through June 30, 2026—including employee payroll—pending exposure, and budget remaining for each project. Budget remaining equals revised budget minus incurred costs. It does not estimate remaining work costs or establish whether a project will finish within budget.</t>
  </si>
  <si>
    <t>Revised budgets are taken from the supplied budget file, which has no effective dates or version history. We cannot confirm that these budgets were valid as of June 30, 2026.</t>
  </si>
  <si>
    <t>Pending exposure is shown separately. It is not included in incurred costs or deducted from budget remaining.</t>
  </si>
  <si>
    <t>P997 has no matching record in the master project table. Its revised budget of $42,000 remains included in this workbook’s budget totals.</t>
  </si>
  <si>
    <t>BUD-P057-04 has a missing original budget, which remains NULL (unknown) and should not be interpreted as zero.</t>
  </si>
  <si>
    <t>Some project–cost category combinations have no matching cost transactions or employee labor records through June 30, 2026. Zero recorded costs may reflect no activity or missing records; they do not prove no costs were incurred.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</si>
</sst>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scheme val="minor"/>
    </font>
    <font>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 fontId="0" fillId="0" borderId="0" xfId="0" applyNumberFormat="1"/>
    <xf numFmtId="10" fontId="0" fillId="0" borderId="0" xfId="0" applyNumberFormat="1"/>
    <xf numFmtId="43" fontId="0" fillId="0" borderId="0" xfId="0" applyNumberFormat="1"/>
    <xf numFmtId="0" fontId="0" fillId="0" borderId="0" xfId="0" pivotButton="1"/>
    <xf numFmtId="0" fontId="18" fillId="0" borderId="0" xfId="0" applyFont="1"/>
    <xf numFmtId="0" fontId="0" fillId="0" borderId="0" xfId="0" applyAlignment="1">
      <alignment wrapText="1"/>
    </xf>
    <xf numFmtId="0" fontId="18" fillId="0" borderId="0" xfId="0" applyFont="1" applyAlignment="1">
      <alignment wrapText="1"/>
    </xf>
    <xf numFmtId="0" fontId="19" fillId="0" borderId="0" xfId="0" applyFont="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rgb="FFFFC7CE"/>
        </patternFill>
      </fill>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5.64963576389" createdVersion="8" refreshedVersion="8" minRefreshableVersion="3" recordCount="673" xr:uid="{6DD797B2-838F-4AB9-A025-CC422A32B21A}">
  <cacheSource type="worksheet">
    <worksheetSource name="Table1"/>
  </cacheSource>
  <cacheFields count="10">
    <cacheField name="project_id" numFmtId="0">
      <sharedItems count="97">
        <s v="P001"/>
        <s v="P004"/>
        <s v="P006"/>
        <s v="P011"/>
        <s v="P013"/>
        <s v="P016"/>
        <s v="P033"/>
        <s v="P026"/>
        <s v="P077"/>
        <s v="P083"/>
        <s v="P095"/>
        <s v="P003"/>
        <s v="P034"/>
        <s v="P038"/>
        <s v="P039"/>
        <s v="P058"/>
        <s v="P063"/>
        <s v="P066"/>
        <s v="P076"/>
        <s v="P078"/>
        <s v="P091"/>
        <s v="P093"/>
        <s v="P048"/>
        <s v="P049"/>
        <s v="P068"/>
        <s v="P074"/>
        <s v="P084"/>
        <s v="P087"/>
        <s v="P009"/>
        <s v="P029"/>
        <s v="P055"/>
        <s v="P023"/>
        <s v="P031"/>
        <s v="P044"/>
        <s v="P047"/>
        <s v="P054"/>
        <s v="P012"/>
        <s v="P035"/>
        <s v="P061"/>
        <s v="P071"/>
        <s v="P090"/>
        <s v="P007"/>
        <s v="P008"/>
        <s v="P020"/>
        <s v="P028"/>
        <s v="P043"/>
        <s v="P046"/>
        <s v="P056"/>
        <s v="P065"/>
        <s v="P075"/>
        <s v="P080"/>
        <s v="P094"/>
        <s v="P041"/>
        <s v="P050"/>
        <s v="P051"/>
        <s v="P018"/>
        <s v="P025"/>
        <s v="P032"/>
        <s v="P040"/>
        <s v="P064"/>
        <s v="P092"/>
        <s v="P014"/>
        <s v="P015"/>
        <s v="P030"/>
        <s v="P037"/>
        <s v="P067"/>
        <s v="P069"/>
        <s v="P096"/>
        <s v="P010"/>
        <s v="P052"/>
        <s v="P089"/>
        <s v="P024"/>
        <s v="P070"/>
        <s v="P072"/>
        <s v="P073"/>
        <s v="P086"/>
        <s v="P005"/>
        <s v="P017"/>
        <s v="P022"/>
        <s v="P057"/>
        <s v="P059"/>
        <s v="P060"/>
        <s v="P079"/>
        <s v="P019"/>
        <s v="P027"/>
        <s v="P042"/>
        <s v="P045"/>
        <s v="P053"/>
        <s v="P085"/>
        <s v="P088"/>
        <s v="P002"/>
        <s v="P021"/>
        <s v="P036"/>
        <s v="P062"/>
        <s v="P081"/>
        <s v="P082"/>
        <s v="P997"/>
      </sharedItems>
    </cacheField>
    <cacheField name="project_name" numFmtId="0">
      <sharedItems containsBlank="1"/>
    </cacheField>
    <cacheField name="cost_category" numFmtId="0">
      <sharedItems/>
    </cacheField>
    <cacheField name="revised_budget" numFmtId="0">
      <sharedItems containsSemiMixedTypes="0" containsString="0" containsNumber="1" minValue="6957.72" maxValue="886036.18"/>
    </cacheField>
    <cacheField name="original_budget_missing_flag" numFmtId="0">
      <sharedItems/>
    </cacheField>
    <cacheField name="orphan_project_flag" numFmtId="0">
      <sharedItems/>
    </cacheField>
    <cacheField name="pending_exposure" numFmtId="0">
      <sharedItems containsSemiMixedTypes="0" containsString="0" containsNumber="1" minValue="0" maxValue="189201.43"/>
    </cacheField>
    <cacheField name="incurred_cost" numFmtId="0">
      <sharedItems containsSemiMixedTypes="0" containsString="0" containsNumber="1" minValue="0" maxValue="858693.32"/>
    </cacheField>
    <cacheField name="budget_remaining" numFmtId="0">
      <sharedItems containsSemiMixedTypes="0" containsString="0" containsNumber="1" minValue="-119977.69" maxValue="489273.07"/>
    </cacheField>
    <cacheField name="no_matching_transactions_flag"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3">
  <r>
    <x v="0"/>
    <s v="Juniper Retail 01"/>
    <s v="Labor"/>
    <n v="357667.87"/>
    <b v="0"/>
    <b v="0"/>
    <n v="0"/>
    <n v="380205.32"/>
    <n v="-22537.45"/>
    <b v="0"/>
  </r>
  <r>
    <x v="1"/>
    <s v="Juniper Medical 04"/>
    <s v="Labor"/>
    <n v="251511.7"/>
    <b v="0"/>
    <b v="0"/>
    <n v="0"/>
    <n v="253196.12"/>
    <n v="-1684.42"/>
    <b v="0"/>
  </r>
  <r>
    <x v="2"/>
    <s v="Granite Commons 06"/>
    <s v="Labor"/>
    <n v="321425"/>
    <b v="0"/>
    <b v="0"/>
    <n v="0"/>
    <n v="342577.2"/>
    <n v="-21152.2"/>
    <b v="0"/>
  </r>
  <r>
    <x v="3"/>
    <s v="Granite Residences 11"/>
    <s v="Labor"/>
    <n v="207500"/>
    <b v="0"/>
    <b v="0"/>
    <n v="0"/>
    <n v="228514.24"/>
    <n v="-21014.240000000002"/>
    <b v="0"/>
  </r>
  <r>
    <x v="4"/>
    <s v="Aspen Renovation 13"/>
    <s v="Labor"/>
    <n v="487828"/>
    <b v="0"/>
    <b v="0"/>
    <n v="0"/>
    <n v="548428.71"/>
    <n v="-60600.71"/>
    <b v="0"/>
  </r>
  <r>
    <x v="5"/>
    <s v="Wasatch Lodge 16"/>
    <s v="Labor"/>
    <n v="115179.12"/>
    <b v="0"/>
    <b v="0"/>
    <n v="0"/>
    <n v="128738.07"/>
    <n v="-13558.95"/>
    <b v="0"/>
  </r>
  <r>
    <x v="6"/>
    <s v="Bonneville Retail 33"/>
    <s v="Labor"/>
    <n v="229635"/>
    <b v="0"/>
    <b v="0"/>
    <n v="0"/>
    <n v="226768.31"/>
    <n v="2866.69"/>
    <b v="0"/>
  </r>
  <r>
    <x v="7"/>
    <s v="Granite Commons 26"/>
    <s v="Labor"/>
    <n v="794870.57"/>
    <b v="0"/>
    <b v="0"/>
    <n v="0"/>
    <n v="848008.95"/>
    <n v="-53138.38"/>
    <b v="0"/>
  </r>
  <r>
    <x v="8"/>
    <s v="Canyon Residences 77"/>
    <s v="Labor"/>
    <n v="223530.3"/>
    <b v="0"/>
    <b v="0"/>
    <n v="0"/>
    <n v="194001.95"/>
    <n v="29528.35"/>
    <b v="0"/>
  </r>
  <r>
    <x v="9"/>
    <s v="Wasatch Renovation 83"/>
    <s v="Labor"/>
    <n v="278750"/>
    <b v="0"/>
    <b v="0"/>
    <n v="0"/>
    <n v="281055.45"/>
    <n v="-2305.4499999999998"/>
    <b v="0"/>
  </r>
  <r>
    <x v="10"/>
    <s v="Summit Lodge 95"/>
    <s v="Labor"/>
    <n v="143100"/>
    <b v="0"/>
    <b v="0"/>
    <n v="0"/>
    <n v="115982.45"/>
    <n v="27117.55"/>
    <b v="0"/>
  </r>
  <r>
    <x v="11"/>
    <s v="Summit Center 03"/>
    <s v="Labor"/>
    <n v="335861.72"/>
    <b v="0"/>
    <b v="0"/>
    <n v="0"/>
    <n v="322068.21999999997"/>
    <n v="13793.5"/>
    <b v="0"/>
  </r>
  <r>
    <x v="12"/>
    <s v="Bonneville Office 34"/>
    <s v="Labor"/>
    <n v="134350"/>
    <b v="0"/>
    <b v="0"/>
    <n v="0"/>
    <n v="145925.14000000001"/>
    <n v="-11575.14"/>
    <b v="0"/>
  </r>
  <r>
    <x v="13"/>
    <s v="Canyon Renovation 38"/>
    <s v="Labor"/>
    <n v="173804.56"/>
    <b v="0"/>
    <b v="0"/>
    <n v="0"/>
    <n v="196563.94"/>
    <n v="-22759.38"/>
    <b v="0"/>
  </r>
  <r>
    <x v="14"/>
    <s v="Granite Commons 39"/>
    <s v="Labor"/>
    <n v="156843"/>
    <b v="0"/>
    <b v="0"/>
    <n v="0"/>
    <n v="168591.27"/>
    <n v="-11748.27"/>
    <b v="0"/>
  </r>
  <r>
    <x v="15"/>
    <s v="Bonneville Medical 58"/>
    <s v="Labor"/>
    <n v="106947"/>
    <b v="0"/>
    <b v="0"/>
    <n v="0"/>
    <n v="111290.41"/>
    <n v="-4343.41"/>
    <b v="0"/>
  </r>
  <r>
    <x v="16"/>
    <s v="Summit Office 63"/>
    <s v="Labor"/>
    <n v="291896.73"/>
    <b v="0"/>
    <b v="0"/>
    <n v="0"/>
    <n v="320948.21000000002"/>
    <n v="-29051.48"/>
    <b v="0"/>
  </r>
  <r>
    <x v="17"/>
    <s v="Canyon Medical 66"/>
    <s v="Labor"/>
    <n v="161220.41"/>
    <b v="0"/>
    <b v="0"/>
    <n v="0"/>
    <n v="152467.82999999999"/>
    <n v="8752.58"/>
    <b v="0"/>
  </r>
  <r>
    <x v="18"/>
    <s v="Granite Center 76"/>
    <s v="Labor"/>
    <n v="276461.75"/>
    <b v="0"/>
    <b v="0"/>
    <n v="0"/>
    <n v="259387.36"/>
    <n v="17074.39"/>
    <b v="0"/>
  </r>
  <r>
    <x v="19"/>
    <s v="Aspen Residences 78"/>
    <s v="Labor"/>
    <n v="324461.84000000003"/>
    <b v="0"/>
    <b v="0"/>
    <n v="0"/>
    <n v="288783.63"/>
    <n v="35678.21"/>
    <b v="0"/>
  </r>
  <r>
    <x v="20"/>
    <s v="Granite Medical 91"/>
    <s v="Labor"/>
    <n v="466769.42"/>
    <b v="0"/>
    <b v="0"/>
    <n v="0"/>
    <n v="443188.51"/>
    <n v="23580.91"/>
    <b v="0"/>
  </r>
  <r>
    <x v="21"/>
    <s v="Granite Office 93"/>
    <s v="Labor"/>
    <n v="639054"/>
    <b v="0"/>
    <b v="0"/>
    <n v="0"/>
    <n v="493959.88"/>
    <n v="145094.12"/>
    <b v="0"/>
  </r>
  <r>
    <x v="22"/>
    <s v="Bonneville Office 48"/>
    <s v="Labor"/>
    <n v="141958.70000000001"/>
    <b v="0"/>
    <b v="0"/>
    <n v="0"/>
    <n v="153477.31"/>
    <n v="-11518.61"/>
    <b v="0"/>
  </r>
  <r>
    <x v="23"/>
    <s v="Wasatch Commons 49"/>
    <s v="Labor"/>
    <n v="258379.56"/>
    <b v="0"/>
    <b v="0"/>
    <n v="0"/>
    <n v="300859.37"/>
    <n v="-42479.81"/>
    <b v="0"/>
  </r>
  <r>
    <x v="24"/>
    <s v="Aspen Lodge 68"/>
    <s v="Labor"/>
    <n v="266846.86"/>
    <b v="0"/>
    <b v="0"/>
    <n v="0"/>
    <n v="281462.42"/>
    <n v="-14615.56"/>
    <b v="0"/>
  </r>
  <r>
    <x v="25"/>
    <s v="Copper Center 74"/>
    <s v="Labor"/>
    <n v="324875"/>
    <b v="0"/>
    <b v="0"/>
    <n v="0"/>
    <n v="341953.24"/>
    <n v="-17078.240000000002"/>
    <b v="0"/>
  </r>
  <r>
    <x v="26"/>
    <s v="Bonneville Renovation 84"/>
    <s v="Labor"/>
    <n v="238550"/>
    <b v="0"/>
    <b v="0"/>
    <n v="0"/>
    <n v="203749.14"/>
    <n v="34800.86"/>
    <b v="0"/>
  </r>
  <r>
    <x v="27"/>
    <s v="Copper Office 87"/>
    <s v="Labor"/>
    <n v="609458.16"/>
    <b v="0"/>
    <b v="0"/>
    <n v="0"/>
    <n v="275097.01"/>
    <n v="334361.15000000002"/>
    <b v="0"/>
  </r>
  <r>
    <x v="28"/>
    <s v="Wasatch Retail 09"/>
    <s v="Labor"/>
    <n v="149472"/>
    <b v="0"/>
    <b v="0"/>
    <n v="0"/>
    <n v="167957.95"/>
    <n v="-18485.95"/>
    <b v="0"/>
  </r>
  <r>
    <x v="29"/>
    <s v="Copper Center 29"/>
    <s v="Labor"/>
    <n v="183657.74"/>
    <b v="0"/>
    <b v="0"/>
    <n v="0"/>
    <n v="201506.88"/>
    <n v="-17849.14"/>
    <b v="0"/>
  </r>
  <r>
    <x v="30"/>
    <s v="Canyon Lodge 55"/>
    <s v="Labor"/>
    <n v="318575"/>
    <b v="0"/>
    <b v="0"/>
    <n v="0"/>
    <n v="385435.06"/>
    <n v="-66860.06"/>
    <b v="0"/>
  </r>
  <r>
    <x v="31"/>
    <s v="Summit Office 23"/>
    <s v="Labor"/>
    <n v="663702"/>
    <b v="0"/>
    <b v="0"/>
    <n v="0"/>
    <n v="747948.32"/>
    <n v="-84246.32"/>
    <b v="0"/>
  </r>
  <r>
    <x v="32"/>
    <s v="Summit Lodge 31"/>
    <s v="Labor"/>
    <n v="132750"/>
    <b v="0"/>
    <b v="0"/>
    <n v="0"/>
    <n v="147458.69"/>
    <n v="-14708.69"/>
    <b v="0"/>
  </r>
  <r>
    <x v="33"/>
    <s v="Copper Medical 44"/>
    <s v="Labor"/>
    <n v="124308"/>
    <b v="0"/>
    <b v="0"/>
    <n v="0"/>
    <n v="135948.64000000001"/>
    <n v="-11640.64"/>
    <b v="0"/>
  </r>
  <r>
    <x v="34"/>
    <s v="Granite Lodge 47"/>
    <s v="Labor"/>
    <n v="497508"/>
    <b v="0"/>
    <b v="0"/>
    <n v="0"/>
    <n v="518249.32"/>
    <n v="-20741.32"/>
    <b v="0"/>
  </r>
  <r>
    <x v="35"/>
    <s v="Granite Office 54"/>
    <s v="Labor"/>
    <n v="129291.68"/>
    <b v="0"/>
    <b v="0"/>
    <n v="0"/>
    <n v="124103.28"/>
    <n v="5188.3999999999996"/>
    <b v="0"/>
  </r>
  <r>
    <x v="36"/>
    <s v="Canyon Retail 12"/>
    <s v="Labor"/>
    <n v="258442.69"/>
    <b v="0"/>
    <b v="0"/>
    <n v="0"/>
    <n v="289027.27"/>
    <n v="-30584.58"/>
    <b v="0"/>
  </r>
  <r>
    <x v="37"/>
    <s v="Aspen Office 35"/>
    <s v="Labor"/>
    <n v="260475"/>
    <b v="0"/>
    <b v="0"/>
    <n v="0"/>
    <n v="269743.23"/>
    <n v="-9268.23"/>
    <b v="0"/>
  </r>
  <r>
    <x v="38"/>
    <s v="Summit Center 61"/>
    <s v="Labor"/>
    <n v="515725.36"/>
    <b v="0"/>
    <b v="0"/>
    <n v="0"/>
    <n v="597150.22"/>
    <n v="-81424.86"/>
    <b v="0"/>
  </r>
  <r>
    <x v="39"/>
    <s v="Wasatch Office 71"/>
    <s v="Labor"/>
    <n v="146468.68"/>
    <b v="0"/>
    <b v="0"/>
    <n v="0"/>
    <n v="157165.06"/>
    <n v="-10696.38"/>
    <b v="0"/>
  </r>
  <r>
    <x v="40"/>
    <s v="Canyon Office 90"/>
    <s v="Labor"/>
    <n v="244715.61"/>
    <b v="0"/>
    <b v="0"/>
    <n v="0"/>
    <n v="243377.43"/>
    <n v="1338.18"/>
    <b v="0"/>
  </r>
  <r>
    <x v="41"/>
    <s v="Wasatch Renovation 07"/>
    <s v="Labor"/>
    <n v="486980.52"/>
    <b v="0"/>
    <b v="0"/>
    <n v="0"/>
    <n v="564976.26"/>
    <n v="-77995.740000000005"/>
    <b v="0"/>
  </r>
  <r>
    <x v="42"/>
    <s v="Bonneville Renovation 08"/>
    <s v="Labor"/>
    <n v="510180"/>
    <b v="0"/>
    <b v="0"/>
    <n v="0"/>
    <n v="516933.34"/>
    <n v="-6753.34"/>
    <b v="0"/>
  </r>
  <r>
    <x v="43"/>
    <s v="Wasatch Commons 20"/>
    <s v="Labor"/>
    <n v="233191.54"/>
    <b v="0"/>
    <b v="0"/>
    <n v="0"/>
    <n v="240842.8"/>
    <n v="-7651.26"/>
    <b v="0"/>
  </r>
  <r>
    <x v="44"/>
    <s v="Copper Office 28"/>
    <s v="Labor"/>
    <n v="63992.85"/>
    <b v="0"/>
    <b v="0"/>
    <n v="0"/>
    <n v="66599.539999999994"/>
    <n v="-2606.69"/>
    <b v="0"/>
  </r>
  <r>
    <x v="45"/>
    <s v="Granite Medical 43"/>
    <s v="Labor"/>
    <n v="232942.18"/>
    <b v="0"/>
    <b v="0"/>
    <n v="0"/>
    <n v="239536.13"/>
    <n v="-6593.95"/>
    <b v="0"/>
  </r>
  <r>
    <x v="46"/>
    <s v="Granite Lodge 46"/>
    <s v="Labor"/>
    <n v="261515.28"/>
    <b v="0"/>
    <b v="0"/>
    <n v="0"/>
    <n v="303768.71000000002"/>
    <n v="-42253.43"/>
    <b v="0"/>
  </r>
  <r>
    <x v="47"/>
    <s v="Wasatch Office 56"/>
    <s v="Labor"/>
    <n v="97167.27"/>
    <b v="0"/>
    <b v="0"/>
    <n v="0"/>
    <n v="94882.43"/>
    <n v="2284.84"/>
    <b v="0"/>
  </r>
  <r>
    <x v="48"/>
    <s v="Aspen Lodge 65"/>
    <s v="Labor"/>
    <n v="169650"/>
    <b v="0"/>
    <b v="0"/>
    <n v="0"/>
    <n v="188173.78"/>
    <n v="-18523.78"/>
    <b v="0"/>
  </r>
  <r>
    <x v="49"/>
    <s v="Granite Lodge 75"/>
    <s v="Labor"/>
    <n v="542516"/>
    <b v="0"/>
    <b v="0"/>
    <n v="0"/>
    <n v="533592.52"/>
    <n v="8923.48"/>
    <b v="0"/>
  </r>
  <r>
    <x v="50"/>
    <s v="Aspen Lodge 80"/>
    <s v="Labor"/>
    <n v="117882"/>
    <b v="0"/>
    <b v="0"/>
    <n v="0"/>
    <n v="102797.9"/>
    <n v="15084.1"/>
    <b v="0"/>
  </r>
  <r>
    <x v="51"/>
    <s v="Copper Commons 94"/>
    <s v="Labor"/>
    <n v="424450.05"/>
    <b v="0"/>
    <b v="0"/>
    <n v="0"/>
    <n v="210526.09"/>
    <n v="213923.96"/>
    <b v="0"/>
  </r>
  <r>
    <x v="52"/>
    <s v="Canyon Office 41"/>
    <s v="Labor"/>
    <n v="333073.87"/>
    <b v="0"/>
    <b v="0"/>
    <n v="0"/>
    <n v="354093.87"/>
    <n v="-21020"/>
    <b v="0"/>
  </r>
  <r>
    <x v="53"/>
    <s v="Granite Lodge 50"/>
    <s v="Labor"/>
    <n v="291490.92"/>
    <b v="0"/>
    <b v="0"/>
    <n v="0"/>
    <n v="329597.89"/>
    <n v="-38106.97"/>
    <b v="0"/>
  </r>
  <r>
    <x v="54"/>
    <s v="Aspen Retail 51"/>
    <s v="Labor"/>
    <n v="115614"/>
    <b v="0"/>
    <b v="0"/>
    <n v="0"/>
    <n v="125173.86"/>
    <n v="-9559.86"/>
    <b v="0"/>
  </r>
  <r>
    <x v="55"/>
    <s v="Wasatch Renovation 18"/>
    <s v="Labor"/>
    <n v="314938"/>
    <b v="0"/>
    <b v="0"/>
    <n v="0"/>
    <n v="350154.7"/>
    <n v="-35216.699999999997"/>
    <b v="0"/>
  </r>
  <r>
    <x v="56"/>
    <s v="Aspen Medical 25"/>
    <s v="Labor"/>
    <n v="591801.49"/>
    <b v="0"/>
    <b v="0"/>
    <n v="0"/>
    <n v="642821.22"/>
    <n v="-51019.73"/>
    <b v="0"/>
  </r>
  <r>
    <x v="57"/>
    <s v="Granite Residences 32"/>
    <s v="Labor"/>
    <n v="467456.09"/>
    <b v="0"/>
    <b v="0"/>
    <n v="0"/>
    <n v="542262.73"/>
    <n v="-74806.64"/>
    <b v="0"/>
  </r>
  <r>
    <x v="58"/>
    <s v="Summit Commons 40"/>
    <s v="Labor"/>
    <n v="329547.55"/>
    <b v="0"/>
    <b v="0"/>
    <n v="0"/>
    <n v="317255.69"/>
    <n v="12291.86"/>
    <b v="0"/>
  </r>
  <r>
    <x v="59"/>
    <s v="Juniper Commons 64"/>
    <s v="Labor"/>
    <n v="341951.76"/>
    <b v="0"/>
    <b v="0"/>
    <n v="0"/>
    <n v="362893.31"/>
    <n v="-20941.55"/>
    <b v="0"/>
  </r>
  <r>
    <x v="60"/>
    <s v="Copper Retail 92"/>
    <s v="Labor"/>
    <n v="204531.46"/>
    <b v="0"/>
    <b v="0"/>
    <n v="0"/>
    <n v="196471.08"/>
    <n v="8060.38"/>
    <b v="0"/>
  </r>
  <r>
    <x v="61"/>
    <s v="Bonneville Lodge 14"/>
    <s v="Labor"/>
    <n v="536404"/>
    <b v="0"/>
    <b v="0"/>
    <n v="0"/>
    <n v="556199.55000000005"/>
    <n v="-19795.55"/>
    <b v="0"/>
  </r>
  <r>
    <x v="62"/>
    <s v="Juniper Residences 15"/>
    <s v="Labor"/>
    <n v="290227.7"/>
    <b v="0"/>
    <b v="0"/>
    <n v="0"/>
    <n v="306820.52"/>
    <n v="-16592.82"/>
    <b v="0"/>
  </r>
  <r>
    <x v="63"/>
    <s v="Granite Center 30"/>
    <s v="Labor"/>
    <n v="561215.4"/>
    <b v="0"/>
    <b v="0"/>
    <n v="0"/>
    <n v="593538.51"/>
    <n v="-32323.11"/>
    <b v="0"/>
  </r>
  <r>
    <x v="64"/>
    <s v="Wasatch Medical 37"/>
    <s v="Labor"/>
    <n v="249165.64"/>
    <b v="0"/>
    <b v="0"/>
    <n v="0"/>
    <n v="267322.68"/>
    <n v="-18157.04"/>
    <b v="0"/>
  </r>
  <r>
    <x v="65"/>
    <s v="Copper Office 67"/>
    <s v="Labor"/>
    <n v="149138.23999999999"/>
    <b v="0"/>
    <b v="0"/>
    <n v="0"/>
    <n v="149545.06"/>
    <n v="-406.82"/>
    <b v="0"/>
  </r>
  <r>
    <x v="66"/>
    <s v="Bonneville Retail 69"/>
    <s v="Labor"/>
    <n v="169037.14"/>
    <b v="0"/>
    <b v="0"/>
    <n v="0"/>
    <n v="191439.83"/>
    <n v="-22402.69"/>
    <b v="0"/>
  </r>
  <r>
    <x v="67"/>
    <s v="Granite Center 96"/>
    <s v="Labor"/>
    <n v="485562"/>
    <b v="0"/>
    <b v="0"/>
    <n v="0"/>
    <n v="159953.82999999999"/>
    <n v="325608.17"/>
    <b v="0"/>
  </r>
  <r>
    <x v="68"/>
    <s v="Juniper Office 10"/>
    <s v="Labor"/>
    <n v="148883.21"/>
    <b v="0"/>
    <b v="0"/>
    <n v="0"/>
    <n v="150667.64000000001"/>
    <n v="-1784.43"/>
    <b v="0"/>
  </r>
  <r>
    <x v="69"/>
    <s v="Summit Medical 52"/>
    <s v="Labor"/>
    <n v="508941.41"/>
    <b v="0"/>
    <b v="0"/>
    <n v="0"/>
    <n v="571142.27"/>
    <n v="-62200.86"/>
    <b v="0"/>
  </r>
  <r>
    <x v="70"/>
    <s v="Aspen Center 89"/>
    <s v="Labor"/>
    <n v="254462"/>
    <b v="0"/>
    <b v="0"/>
    <n v="0"/>
    <n v="36686.089999999997"/>
    <n v="217775.91"/>
    <b v="0"/>
  </r>
  <r>
    <x v="71"/>
    <s v="Aspen Retail 24"/>
    <s v="Labor"/>
    <n v="323234.71000000002"/>
    <b v="0"/>
    <b v="0"/>
    <n v="0"/>
    <n v="362642.98"/>
    <n v="-39408.269999999997"/>
    <b v="0"/>
  </r>
  <r>
    <x v="72"/>
    <s v="Granite Commons 70"/>
    <s v="Labor"/>
    <n v="276982.83"/>
    <b v="0"/>
    <b v="0"/>
    <n v="0"/>
    <n v="304353.59999999998"/>
    <n v="-27370.77"/>
    <b v="0"/>
  </r>
  <r>
    <x v="73"/>
    <s v="Aspen Office 72"/>
    <s v="Labor"/>
    <n v="239292.3"/>
    <b v="0"/>
    <b v="0"/>
    <n v="0"/>
    <n v="281570.87"/>
    <n v="-42278.57"/>
    <b v="0"/>
  </r>
  <r>
    <x v="74"/>
    <s v="Canyon Commons 73"/>
    <s v="Labor"/>
    <n v="490438"/>
    <b v="0"/>
    <b v="0"/>
    <n v="0"/>
    <n v="580916.07999999996"/>
    <n v="-90478.080000000002"/>
    <b v="0"/>
  </r>
  <r>
    <x v="75"/>
    <s v="Copper Center 86"/>
    <s v="Labor"/>
    <n v="108513"/>
    <b v="0"/>
    <b v="0"/>
    <n v="0"/>
    <n v="70550.45"/>
    <n v="37962.550000000003"/>
    <b v="0"/>
  </r>
  <r>
    <x v="76"/>
    <s v="Summit Residences 05"/>
    <s v="Labor"/>
    <n v="556938.93000000005"/>
    <b v="0"/>
    <b v="0"/>
    <n v="0"/>
    <n v="645998.01"/>
    <n v="-89059.08"/>
    <b v="0"/>
  </r>
  <r>
    <x v="77"/>
    <s v="Summit Retail 17"/>
    <s v="Labor"/>
    <n v="389586"/>
    <b v="0"/>
    <b v="0"/>
    <n v="0"/>
    <n v="457801.9"/>
    <n v="-68215.899999999994"/>
    <b v="0"/>
  </r>
  <r>
    <x v="78"/>
    <s v="Juniper Medical 22"/>
    <s v="Labor"/>
    <n v="779495.08"/>
    <b v="0"/>
    <b v="0"/>
    <n v="0"/>
    <n v="858693.32"/>
    <n v="-79198.240000000005"/>
    <b v="0"/>
  </r>
  <r>
    <x v="79"/>
    <s v="Juniper Commons 57"/>
    <s v="Labor"/>
    <n v="213786"/>
    <b v="0"/>
    <b v="0"/>
    <n v="0"/>
    <n v="225545.13"/>
    <n v="-11759.13"/>
    <b v="0"/>
  </r>
  <r>
    <x v="80"/>
    <s v="Aspen Residences 59"/>
    <s v="Labor"/>
    <n v="140535"/>
    <b v="0"/>
    <b v="0"/>
    <n v="0"/>
    <n v="157090.74"/>
    <n v="-16555.740000000002"/>
    <b v="0"/>
  </r>
  <r>
    <x v="81"/>
    <s v="Canyon Retail 60"/>
    <s v="Labor"/>
    <n v="364775.04"/>
    <b v="0"/>
    <b v="0"/>
    <n v="0"/>
    <n v="366192.48"/>
    <n v="-1417.44"/>
    <b v="0"/>
  </r>
  <r>
    <x v="82"/>
    <s v="Canyon Center 79"/>
    <s v="Labor"/>
    <n v="319200"/>
    <b v="0"/>
    <b v="0"/>
    <n v="0"/>
    <n v="295304.65000000002"/>
    <n v="23895.35"/>
    <b v="0"/>
  </r>
  <r>
    <x v="83"/>
    <s v="Wasatch Center 19"/>
    <s v="Labor"/>
    <n v="130838.79"/>
    <b v="0"/>
    <b v="0"/>
    <n v="0"/>
    <n v="155047.26999999999"/>
    <n v="-24208.48"/>
    <b v="0"/>
  </r>
  <r>
    <x v="84"/>
    <s v="Canyon Renovation 27"/>
    <s v="Labor"/>
    <n v="443408.07"/>
    <b v="0"/>
    <b v="0"/>
    <n v="0"/>
    <n v="479067.5"/>
    <n v="-35659.43"/>
    <b v="0"/>
  </r>
  <r>
    <x v="85"/>
    <s v="Juniper Residences 42"/>
    <s v="Labor"/>
    <n v="522102.34"/>
    <b v="0"/>
    <b v="0"/>
    <n v="0"/>
    <n v="596100.48"/>
    <n v="-73998.14"/>
    <b v="0"/>
  </r>
  <r>
    <x v="86"/>
    <s v="Bonneville Office 45"/>
    <s v="Labor"/>
    <n v="317520"/>
    <b v="0"/>
    <b v="0"/>
    <n v="0"/>
    <n v="304708.87"/>
    <n v="12811.13"/>
    <b v="0"/>
  </r>
  <r>
    <x v="87"/>
    <s v="Wasatch Center 53"/>
    <s v="Labor"/>
    <n v="379995"/>
    <b v="0"/>
    <b v="0"/>
    <n v="0"/>
    <n v="417968.14"/>
    <n v="-37973.14"/>
    <b v="0"/>
  </r>
  <r>
    <x v="88"/>
    <s v="Summit Residences 85"/>
    <s v="Labor"/>
    <n v="234452.75"/>
    <b v="0"/>
    <b v="0"/>
    <n v="0"/>
    <n v="233519.19"/>
    <n v="933.56"/>
    <b v="0"/>
  </r>
  <r>
    <x v="89"/>
    <s v="Copper Center 88"/>
    <s v="Labor"/>
    <n v="175942.45"/>
    <b v="0"/>
    <b v="0"/>
    <n v="0"/>
    <n v="141221.51"/>
    <n v="34720.94"/>
    <b v="0"/>
  </r>
  <r>
    <x v="90"/>
    <s v="Wasatch Renovation 02"/>
    <s v="Labor"/>
    <n v="179172"/>
    <b v="0"/>
    <b v="0"/>
    <n v="0"/>
    <n v="183203.76"/>
    <n v="-4031.76"/>
    <b v="0"/>
  </r>
  <r>
    <x v="91"/>
    <s v="Copper Center 21"/>
    <s v="Labor"/>
    <n v="637511.16"/>
    <b v="0"/>
    <b v="0"/>
    <n v="0"/>
    <n v="753709.84"/>
    <n v="-116198.68"/>
    <b v="0"/>
  </r>
  <r>
    <x v="92"/>
    <s v="Bonneville Commons 36"/>
    <s v="Labor"/>
    <n v="531950"/>
    <b v="0"/>
    <b v="0"/>
    <n v="0"/>
    <n v="545334.46"/>
    <n v="-13384.46"/>
    <b v="0"/>
  </r>
  <r>
    <x v="93"/>
    <s v="Granite Residences 62"/>
    <s v="Labor"/>
    <n v="566632.78"/>
    <b v="0"/>
    <b v="0"/>
    <n v="0"/>
    <n v="628634.22"/>
    <n v="-62001.440000000002"/>
    <b v="0"/>
  </r>
  <r>
    <x v="94"/>
    <s v="Canyon Center 81"/>
    <s v="Labor"/>
    <n v="189125"/>
    <b v="0"/>
    <b v="0"/>
    <n v="0"/>
    <n v="145105.79"/>
    <n v="44019.21"/>
    <b v="0"/>
  </r>
  <r>
    <x v="95"/>
    <s v="Wasatch Retail 82"/>
    <s v="Labor"/>
    <n v="477800.95"/>
    <b v="0"/>
    <b v="0"/>
    <n v="0"/>
    <n v="468362.39"/>
    <n v="9438.56"/>
    <b v="0"/>
  </r>
  <r>
    <x v="0"/>
    <s v="Juniper Retail 01"/>
    <s v="Materials"/>
    <n v="369577.78"/>
    <b v="0"/>
    <b v="0"/>
    <n v="13385.62"/>
    <n v="375450.91"/>
    <n v="-5873.13"/>
    <b v="0"/>
  </r>
  <r>
    <x v="90"/>
    <s v="Wasatch Renovation 02"/>
    <s v="Subcontractors"/>
    <n v="185808"/>
    <b v="0"/>
    <b v="0"/>
    <n v="14006.84"/>
    <n v="173772.01"/>
    <n v="12035.99"/>
    <b v="0"/>
  </r>
  <r>
    <x v="2"/>
    <s v="Granite Commons 06"/>
    <s v="Equipment"/>
    <n v="64285"/>
    <b v="0"/>
    <b v="0"/>
    <n v="1526.27"/>
    <n v="64269.93"/>
    <n v="15.07"/>
    <b v="0"/>
  </r>
  <r>
    <x v="2"/>
    <s v="Granite Commons 06"/>
    <s v="General Conditions"/>
    <n v="102856"/>
    <b v="0"/>
    <b v="0"/>
    <n v="13667.77"/>
    <n v="90618.77"/>
    <n v="12237.23"/>
    <b v="0"/>
  </r>
  <r>
    <x v="42"/>
    <s v="Bonneville Renovation 08"/>
    <s v="Other"/>
    <n v="46380"/>
    <b v="0"/>
    <b v="0"/>
    <n v="2062.96"/>
    <n v="43399.62"/>
    <n v="2980.38"/>
    <b v="0"/>
  </r>
  <r>
    <x v="68"/>
    <s v="Juniper Office 10"/>
    <s v="Other"/>
    <n v="17149.810000000001"/>
    <b v="0"/>
    <b v="0"/>
    <n v="2158.1799999999998"/>
    <n v="13136.5"/>
    <n v="4013.31"/>
    <b v="0"/>
  </r>
  <r>
    <x v="55"/>
    <s v="Wasatch Renovation 18"/>
    <s v="Equipment"/>
    <n v="60565"/>
    <b v="0"/>
    <b v="0"/>
    <n v="2630.75"/>
    <n v="64006.58"/>
    <n v="-3441.58"/>
    <b v="0"/>
  </r>
  <r>
    <x v="31"/>
    <s v="Summit Office 23"/>
    <s v="Subcontractors"/>
    <n v="689229"/>
    <b v="0"/>
    <b v="0"/>
    <n v="0"/>
    <n v="764221.38"/>
    <n v="-74992.38"/>
    <b v="0"/>
  </r>
  <r>
    <x v="56"/>
    <s v="Aspen Medical 25"/>
    <s v="Materials"/>
    <n v="659881.88"/>
    <b v="0"/>
    <b v="0"/>
    <n v="54861.88"/>
    <n v="659111.01"/>
    <n v="770.87"/>
    <b v="0"/>
  </r>
  <r>
    <x v="12"/>
    <s v="Bonneville Office 34"/>
    <s v="Equipment"/>
    <n v="26870"/>
    <b v="0"/>
    <b v="0"/>
    <n v="3700.33"/>
    <n v="25596.97"/>
    <n v="1273.03"/>
    <b v="0"/>
  </r>
  <r>
    <x v="12"/>
    <s v="Bonneville Office 34"/>
    <s v="General Conditions"/>
    <n v="42992"/>
    <b v="0"/>
    <b v="0"/>
    <n v="6100.22"/>
    <n v="41622.800000000003"/>
    <n v="1369.2"/>
    <b v="0"/>
  </r>
  <r>
    <x v="34"/>
    <s v="Granite Lodge 47"/>
    <s v="Permits &amp; Fees"/>
    <n v="135684"/>
    <b v="0"/>
    <b v="0"/>
    <n v="17458.84"/>
    <n v="128992.74"/>
    <n v="6691.26"/>
    <b v="0"/>
  </r>
  <r>
    <x v="22"/>
    <s v="Bonneville Office 48"/>
    <s v="Other"/>
    <n v="15409.36"/>
    <b v="0"/>
    <b v="0"/>
    <n v="2622.82"/>
    <n v="13797.72"/>
    <n v="1611.64"/>
    <b v="0"/>
  </r>
  <r>
    <x v="15"/>
    <s v="Bonneville Medical 58"/>
    <s v="Other"/>
    <n v="11883"/>
    <b v="0"/>
    <b v="0"/>
    <n v="533.66"/>
    <n v="10108.86"/>
    <n v="1774.14"/>
    <b v="0"/>
  </r>
  <r>
    <x v="80"/>
    <s v="Aspen Residences 59"/>
    <s v="Materials"/>
    <n v="130125"/>
    <b v="0"/>
    <b v="0"/>
    <n v="15755.72"/>
    <n v="128748.02"/>
    <n v="1376.98"/>
    <b v="0"/>
  </r>
  <r>
    <x v="16"/>
    <s v="Summit Office 63"/>
    <s v="Materials"/>
    <n v="270835.49"/>
    <b v="0"/>
    <b v="0"/>
    <n v="34567.980000000003"/>
    <n v="265370.95"/>
    <n v="5464.54"/>
    <b v="0"/>
  </r>
  <r>
    <x v="17"/>
    <s v="Canyon Medical 66"/>
    <s v="Permits &amp; Fees"/>
    <n v="23576.37"/>
    <b v="0"/>
    <b v="0"/>
    <n v="1477.41"/>
    <n v="21058.65"/>
    <n v="2517.7199999999998"/>
    <b v="0"/>
  </r>
  <r>
    <x v="25"/>
    <s v="Copper Center 74"/>
    <s v="Other"/>
    <n v="38985"/>
    <b v="0"/>
    <b v="0"/>
    <n v="0"/>
    <n v="35210.959999999999"/>
    <n v="3774.04"/>
    <b v="0"/>
  </r>
  <r>
    <x v="49"/>
    <s v="Granite Lodge 75"/>
    <s v="Permits &amp; Fees"/>
    <n v="62598"/>
    <b v="0"/>
    <b v="0"/>
    <n v="3690.13"/>
    <n v="58068.94"/>
    <n v="4529.0600000000004"/>
    <b v="0"/>
  </r>
  <r>
    <x v="94"/>
    <s v="Canyon Center 81"/>
    <s v="Other"/>
    <n v="22695"/>
    <b v="0"/>
    <b v="0"/>
    <n v="1214.1600000000001"/>
    <n v="14234.4"/>
    <n v="8460.6"/>
    <b v="0"/>
  </r>
  <r>
    <x v="95"/>
    <s v="Wasatch Retail 82"/>
    <s v="Permits &amp; Fees"/>
    <n v="45740.58"/>
    <b v="0"/>
    <b v="0"/>
    <n v="9848.14"/>
    <n v="34899.51"/>
    <n v="10841.07"/>
    <b v="0"/>
  </r>
  <r>
    <x v="26"/>
    <s v="Bonneville Renovation 84"/>
    <s v="Subcontractors"/>
    <n v="247725"/>
    <b v="0"/>
    <b v="0"/>
    <n v="0"/>
    <n v="222897.84"/>
    <n v="24827.16"/>
    <b v="0"/>
  </r>
  <r>
    <x v="70"/>
    <s v="Aspen Center 89"/>
    <s v="Other"/>
    <n v="29361"/>
    <b v="0"/>
    <b v="0"/>
    <n v="261.74"/>
    <n v="3899.47"/>
    <n v="25461.53"/>
    <b v="0"/>
  </r>
  <r>
    <x v="20"/>
    <s v="Granite Medical 91"/>
    <s v="Permits &amp; Fees"/>
    <n v="71916.17"/>
    <b v="0"/>
    <b v="0"/>
    <n v="8250.99"/>
    <n v="55479.07"/>
    <n v="16437.099999999999"/>
    <b v="0"/>
  </r>
  <r>
    <x v="10"/>
    <s v="Summit Lodge 95"/>
    <s v="Equipment"/>
    <n v="21200"/>
    <b v="0"/>
    <b v="0"/>
    <n v="871.8"/>
    <n v="16793.099999999999"/>
    <n v="4406.8999999999996"/>
    <b v="0"/>
  </r>
  <r>
    <x v="28"/>
    <s v="Wasatch Retail 09"/>
    <s v="Subcontractors"/>
    <n v="155008"/>
    <b v="0"/>
    <b v="0"/>
    <n v="13436.01"/>
    <n v="150642.93"/>
    <n v="4365.07"/>
    <b v="0"/>
  </r>
  <r>
    <x v="55"/>
    <s v="Wasatch Renovation 18"/>
    <s v="General Conditions"/>
    <n v="84791"/>
    <b v="0"/>
    <b v="0"/>
    <n v="7663.28"/>
    <n v="90736.8"/>
    <n v="-5945.8"/>
    <b v="0"/>
  </r>
  <r>
    <x v="78"/>
    <s v="Juniper Medical 22"/>
    <s v="Other"/>
    <n v="88963.46"/>
    <b v="0"/>
    <b v="0"/>
    <n v="5005.25"/>
    <n v="76164.45"/>
    <n v="12799.01"/>
    <b v="0"/>
  </r>
  <r>
    <x v="57"/>
    <s v="Granite Residences 32"/>
    <s v="Other"/>
    <n v="54176.800000000003"/>
    <b v="0"/>
    <b v="0"/>
    <n v="0"/>
    <n v="63416.31"/>
    <n v="-9239.51"/>
    <b v="0"/>
  </r>
  <r>
    <x v="13"/>
    <s v="Canyon Renovation 38"/>
    <s v="Materials"/>
    <n v="161674.07"/>
    <b v="0"/>
    <b v="0"/>
    <n v="15371.62"/>
    <n v="156996.4"/>
    <n v="4677.67"/>
    <b v="0"/>
  </r>
  <r>
    <x v="9"/>
    <s v="Wasatch Renovation 83"/>
    <s v="Permits &amp; Fees"/>
    <n v="44600"/>
    <b v="0"/>
    <b v="0"/>
    <n v="5262.8"/>
    <n v="38177.81"/>
    <n v="6422.19"/>
    <b v="0"/>
  </r>
  <r>
    <x v="10"/>
    <s v="Summit Lodge 95"/>
    <s v="General Conditions"/>
    <n v="47700"/>
    <b v="0"/>
    <b v="0"/>
    <n v="2734.79"/>
    <n v="34800.160000000003"/>
    <n v="12899.84"/>
    <b v="0"/>
  </r>
  <r>
    <x v="67"/>
    <s v="Granite Center 96"/>
    <s v="Permits &amp; Fees"/>
    <n v="132426"/>
    <b v="0"/>
    <b v="0"/>
    <n v="3088.15"/>
    <n v="43262.31"/>
    <n v="89163.69"/>
    <b v="0"/>
  </r>
  <r>
    <x v="83"/>
    <s v="Wasatch Center 19"/>
    <s v="Materials"/>
    <n v="135661.01"/>
    <b v="0"/>
    <b v="0"/>
    <n v="11762.77"/>
    <n v="138147.34"/>
    <n v="-2486.33"/>
    <b v="0"/>
  </r>
  <r>
    <x v="19"/>
    <s v="Aspen Residences 78"/>
    <s v="Other"/>
    <n v="37096"/>
    <b v="0"/>
    <b v="0"/>
    <n v="1143.46"/>
    <n v="28883.22"/>
    <n v="8212.7800000000007"/>
    <b v="0"/>
  </r>
  <r>
    <x v="58"/>
    <s v="Summit Commons 40"/>
    <s v="Other"/>
    <n v="31676.55"/>
    <b v="0"/>
    <b v="0"/>
    <n v="0"/>
    <n v="29833.95"/>
    <n v="1842.6"/>
    <b v="0"/>
  </r>
  <r>
    <x v="90"/>
    <s v="Wasatch Renovation 02"/>
    <s v="Other"/>
    <n v="19908"/>
    <b v="0"/>
    <b v="0"/>
    <n v="1750.12"/>
    <n v="19877.080000000002"/>
    <n v="30.92"/>
    <b v="0"/>
  </r>
  <r>
    <x v="42"/>
    <s v="Bonneville Renovation 08"/>
    <s v="Subcontractors"/>
    <n v="718890"/>
    <b v="0"/>
    <b v="0"/>
    <n v="45225.05"/>
    <n v="694202.76"/>
    <n v="24687.24"/>
    <b v="0"/>
  </r>
  <r>
    <x v="28"/>
    <s v="Wasatch Retail 09"/>
    <s v="Other"/>
    <n v="16608"/>
    <b v="0"/>
    <b v="0"/>
    <n v="2956.33"/>
    <n v="15429.07"/>
    <n v="1178.93"/>
    <b v="0"/>
  </r>
  <r>
    <x v="36"/>
    <s v="Canyon Retail 12"/>
    <s v="Equipment"/>
    <n v="44369.93"/>
    <b v="0"/>
    <b v="0"/>
    <n v="5947.43"/>
    <n v="38229.699999999997"/>
    <n v="6140.23"/>
    <b v="0"/>
  </r>
  <r>
    <x v="83"/>
    <s v="Wasatch Center 19"/>
    <s v="Permits &amp; Fees"/>
    <n v="12426.81"/>
    <b v="0"/>
    <b v="0"/>
    <n v="504.62"/>
    <n v="11782.88"/>
    <n v="643.92999999999995"/>
    <b v="0"/>
  </r>
  <r>
    <x v="78"/>
    <s v="Juniper Medical 22"/>
    <s v="Subcontractors"/>
    <n v="807211.62"/>
    <b v="0"/>
    <b v="0"/>
    <n v="136169.43"/>
    <n v="666404.43000000005"/>
    <n v="140807.19"/>
    <b v="0"/>
  </r>
  <r>
    <x v="31"/>
    <s v="Summit Office 23"/>
    <s v="Other"/>
    <n v="76581"/>
    <b v="0"/>
    <b v="0"/>
    <n v="9534.9500000000007"/>
    <n v="74516.800000000003"/>
    <n v="2064.1999999999998"/>
    <b v="0"/>
  </r>
  <r>
    <x v="63"/>
    <s v="Granite Center 30"/>
    <s v="Equipment"/>
    <n v="69985.039999999994"/>
    <b v="0"/>
    <b v="0"/>
    <n v="5717.56"/>
    <n v="66615.91"/>
    <n v="3369.13"/>
    <b v="0"/>
  </r>
  <r>
    <x v="63"/>
    <s v="Granite Center 30"/>
    <s v="General Conditions"/>
    <n v="121655.07"/>
    <b v="0"/>
    <b v="0"/>
    <n v="26867.59"/>
    <n v="109025.89"/>
    <n v="12629.18"/>
    <b v="0"/>
  </r>
  <r>
    <x v="57"/>
    <s v="Granite Residences 32"/>
    <s v="Subcontractors"/>
    <n v="568034.29"/>
    <b v="0"/>
    <b v="0"/>
    <n v="19529.38"/>
    <n v="621795.15"/>
    <n v="-53760.86"/>
    <b v="0"/>
  </r>
  <r>
    <x v="13"/>
    <s v="Canyon Renovation 38"/>
    <s v="Permits &amp; Fees"/>
    <n v="25417"/>
    <b v="0"/>
    <b v="0"/>
    <n v="727.03"/>
    <n v="24768.84"/>
    <n v="648.16"/>
    <b v="0"/>
  </r>
  <r>
    <x v="14"/>
    <s v="Granite Commons 39"/>
    <s v="Equipment"/>
    <n v="23236"/>
    <b v="0"/>
    <b v="0"/>
    <n v="1024.72"/>
    <n v="23824.240000000002"/>
    <n v="-588.24"/>
    <b v="0"/>
  </r>
  <r>
    <x v="14"/>
    <s v="Granite Commons 39"/>
    <s v="General Conditions"/>
    <n v="52281"/>
    <b v="0"/>
    <b v="0"/>
    <n v="0"/>
    <n v="56328.54"/>
    <n v="-4047.54"/>
    <b v="0"/>
  </r>
  <r>
    <x v="58"/>
    <s v="Summit Commons 40"/>
    <s v="Subcontractors"/>
    <n v="214823"/>
    <b v="0"/>
    <b v="0"/>
    <n v="5121.84"/>
    <n v="207462.63"/>
    <n v="7360.37"/>
    <b v="0"/>
  </r>
  <r>
    <x v="34"/>
    <s v="Granite Lodge 47"/>
    <s v="Materials"/>
    <n v="633192"/>
    <b v="0"/>
    <b v="0"/>
    <n v="61713.22"/>
    <n v="612021.28"/>
    <n v="21170.720000000001"/>
    <b v="0"/>
  </r>
  <r>
    <x v="22"/>
    <s v="Bonneville Office 48"/>
    <s v="Subcontractors"/>
    <n v="146301.34"/>
    <b v="0"/>
    <b v="0"/>
    <n v="2896.64"/>
    <n v="146220.88"/>
    <n v="80.459999999999994"/>
    <b v="0"/>
  </r>
  <r>
    <x v="16"/>
    <s v="Summit Office 63"/>
    <s v="Permits &amp; Fees"/>
    <n v="42993.84"/>
    <b v="0"/>
    <b v="0"/>
    <n v="1346.79"/>
    <n v="45650.3"/>
    <n v="-2656.46"/>
    <b v="0"/>
  </r>
  <r>
    <x v="17"/>
    <s v="Canyon Medical 66"/>
    <s v="Materials"/>
    <n v="149968.95999999999"/>
    <b v="0"/>
    <b v="0"/>
    <n v="17905.89"/>
    <n v="127888.76"/>
    <n v="22080.2"/>
    <b v="0"/>
  </r>
  <r>
    <x v="49"/>
    <s v="Granite Lodge 75"/>
    <s v="Materials"/>
    <n v="605114"/>
    <b v="0"/>
    <b v="0"/>
    <n v="20443.87"/>
    <n v="591039.99"/>
    <n v="14074.01"/>
    <b v="0"/>
  </r>
  <r>
    <x v="8"/>
    <s v="Canyon Residences 77"/>
    <s v="Equipment"/>
    <n v="45200.38"/>
    <b v="0"/>
    <b v="0"/>
    <n v="5550.3"/>
    <n v="32122.240000000002"/>
    <n v="13078.14"/>
    <b v="0"/>
  </r>
  <r>
    <x v="8"/>
    <s v="Canyon Residences 77"/>
    <s v="General Conditions"/>
    <n v="72285.289999999994"/>
    <b v="0"/>
    <b v="0"/>
    <n v="1530.01"/>
    <n v="64309.47"/>
    <n v="7975.82"/>
    <b v="0"/>
  </r>
  <r>
    <x v="94"/>
    <s v="Canyon Center 81"/>
    <s v="Subcontractors"/>
    <n v="234515"/>
    <b v="0"/>
    <b v="0"/>
    <n v="23520.02"/>
    <n v="147878.89000000001"/>
    <n v="86636.11"/>
    <b v="0"/>
  </r>
  <r>
    <x v="95"/>
    <s v="Wasatch Retail 82"/>
    <s v="Materials"/>
    <n v="494489.32"/>
    <b v="0"/>
    <b v="0"/>
    <n v="34433.800000000003"/>
    <n v="474872.8"/>
    <n v="19616.52"/>
    <b v="0"/>
  </r>
  <r>
    <x v="9"/>
    <s v="Wasatch Renovation 83"/>
    <s v="Materials"/>
    <n v="267600"/>
    <b v="0"/>
    <b v="0"/>
    <n v="0"/>
    <n v="287455.3"/>
    <n v="-19855.3"/>
    <b v="0"/>
  </r>
  <r>
    <x v="26"/>
    <s v="Bonneville Renovation 84"/>
    <s v="Other"/>
    <n v="27525"/>
    <b v="0"/>
    <b v="0"/>
    <n v="4412.9399999999996"/>
    <n v="18745.919999999998"/>
    <n v="8779.08"/>
    <b v="0"/>
  </r>
  <r>
    <x v="27"/>
    <s v="Copper Office 87"/>
    <s v="Equipment"/>
    <n v="116598.88"/>
    <b v="0"/>
    <b v="0"/>
    <n v="6801.87"/>
    <n v="48226.48"/>
    <n v="68372.399999999994"/>
    <b v="0"/>
  </r>
  <r>
    <x v="27"/>
    <s v="Copper Office 87"/>
    <s v="General Conditions"/>
    <n v="163426.13"/>
    <b v="0"/>
    <b v="0"/>
    <n v="4505.74"/>
    <n v="74254.66"/>
    <n v="89171.47"/>
    <b v="0"/>
  </r>
  <r>
    <x v="70"/>
    <s v="Aspen Center 89"/>
    <s v="Subcontractors"/>
    <n v="264249"/>
    <b v="0"/>
    <b v="0"/>
    <n v="1294.51"/>
    <n v="33539.79"/>
    <n v="230709.21"/>
    <b v="0"/>
  </r>
  <r>
    <x v="67"/>
    <s v="Granite Center 96"/>
    <s v="Materials"/>
    <n v="617988"/>
    <b v="0"/>
    <b v="0"/>
    <n v="31195.439999999999"/>
    <n v="183989.38"/>
    <n v="433998.62"/>
    <b v="0"/>
  </r>
  <r>
    <x v="0"/>
    <s v="Juniper Retail 01"/>
    <s v="Permits &amp; Fees"/>
    <n v="34467.61"/>
    <b v="0"/>
    <b v="0"/>
    <n v="1969.33"/>
    <n v="33646.879999999997"/>
    <n v="820.73"/>
    <b v="0"/>
  </r>
  <r>
    <x v="68"/>
    <s v="Juniper Office 10"/>
    <s v="Subcontractors"/>
    <n v="180279.4"/>
    <b v="0"/>
    <b v="0"/>
    <n v="12179.16"/>
    <n v="163201.12"/>
    <n v="17078.28"/>
    <b v="0"/>
  </r>
  <r>
    <x v="36"/>
    <s v="Canyon Retail 12"/>
    <s v="General Conditions"/>
    <n v="77359.22"/>
    <b v="0"/>
    <b v="0"/>
    <n v="15534.2"/>
    <n v="63104.04"/>
    <n v="14255.18"/>
    <b v="0"/>
  </r>
  <r>
    <x v="56"/>
    <s v="Aspen Medical 25"/>
    <s v="Permits &amp; Fees"/>
    <n v="67489.929999999993"/>
    <b v="0"/>
    <b v="0"/>
    <n v="6809.44"/>
    <n v="59907.19"/>
    <n v="7582.74"/>
    <b v="0"/>
  </r>
  <r>
    <x v="15"/>
    <s v="Bonneville Medical 58"/>
    <s v="Subcontractors"/>
    <n v="110908"/>
    <b v="0"/>
    <b v="0"/>
    <n v="5461.75"/>
    <n v="108000.17"/>
    <n v="2907.83"/>
    <b v="0"/>
  </r>
  <r>
    <x v="80"/>
    <s v="Aspen Residences 59"/>
    <s v="Permits &amp; Fees"/>
    <n v="20820"/>
    <b v="0"/>
    <b v="0"/>
    <n v="0"/>
    <n v="21391.360000000001"/>
    <n v="-571.36"/>
    <b v="0"/>
  </r>
  <r>
    <x v="25"/>
    <s v="Copper Center 74"/>
    <s v="Subcontractors"/>
    <n v="402845"/>
    <b v="0"/>
    <b v="0"/>
    <n v="26573.99"/>
    <n v="392363.42"/>
    <n v="10481.58"/>
    <b v="0"/>
  </r>
  <r>
    <x v="19"/>
    <s v="Aspen Residences 78"/>
    <s v="Subcontractors"/>
    <n v="336149.85"/>
    <b v="0"/>
    <b v="0"/>
    <n v="0"/>
    <n v="298652.21999999997"/>
    <n v="37497.629999999997"/>
    <b v="0"/>
  </r>
  <r>
    <x v="20"/>
    <s v="Granite Medical 91"/>
    <s v="Materials"/>
    <n v="452458.67"/>
    <b v="0"/>
    <b v="0"/>
    <n v="33821.269999999997"/>
    <n v="370192.39"/>
    <n v="82266.28"/>
    <b v="0"/>
  </r>
  <r>
    <x v="0"/>
    <s v="Juniper Retail 01"/>
    <s v="Other"/>
    <n v="34467.61"/>
    <b v="0"/>
    <b v="0"/>
    <n v="1459.65"/>
    <n v="32763.71"/>
    <n v="1703.9"/>
    <b v="0"/>
  </r>
  <r>
    <x v="28"/>
    <s v="Wasatch Retail 09"/>
    <s v="Permits &amp; Fees"/>
    <n v="22144"/>
    <b v="0"/>
    <b v="0"/>
    <n v="3131.42"/>
    <n v="21171.919999999998"/>
    <n v="972.08"/>
    <b v="0"/>
  </r>
  <r>
    <x v="68"/>
    <s v="Juniper Office 10"/>
    <s v="Materials"/>
    <n v="144940.92000000001"/>
    <b v="0"/>
    <b v="0"/>
    <n v="0"/>
    <n v="137585.37"/>
    <n v="7355.55"/>
    <b v="0"/>
  </r>
  <r>
    <x v="61"/>
    <s v="Bonneville Lodge 14"/>
    <s v="Equipment"/>
    <n v="97528"/>
    <b v="0"/>
    <b v="0"/>
    <n v="12818.05"/>
    <n v="88409.87"/>
    <n v="9118.1299999999992"/>
    <b v="0"/>
  </r>
  <r>
    <x v="61"/>
    <s v="Bonneville Lodge 14"/>
    <s v="General Conditions"/>
    <n v="170674"/>
    <b v="0"/>
    <b v="0"/>
    <n v="7985.92"/>
    <n v="169922.71"/>
    <n v="751.29"/>
    <b v="0"/>
  </r>
  <r>
    <x v="77"/>
    <s v="Summit Retail 17"/>
    <s v="Equipment"/>
    <n v="49801.79"/>
    <b v="0"/>
    <b v="0"/>
    <n v="4810.3500000000004"/>
    <n v="47295.31"/>
    <n v="2506.48"/>
    <b v="0"/>
  </r>
  <r>
    <x v="77"/>
    <s v="Summit Retail 17"/>
    <s v="General Conditions"/>
    <n v="86995.66"/>
    <b v="0"/>
    <b v="0"/>
    <n v="23406.52"/>
    <n v="73574.2"/>
    <n v="13421.46"/>
    <b v="0"/>
  </r>
  <r>
    <x v="83"/>
    <s v="Wasatch Center 19"/>
    <s v="Other"/>
    <n v="12426.81"/>
    <b v="0"/>
    <b v="0"/>
    <n v="1782.95"/>
    <n v="11606.08"/>
    <n v="820.73"/>
    <b v="0"/>
  </r>
  <r>
    <x v="78"/>
    <s v="Juniper Medical 22"/>
    <s v="Materials"/>
    <n v="869185.26"/>
    <b v="0"/>
    <b v="0"/>
    <n v="110677.39"/>
    <n v="829350.31"/>
    <n v="39834.949999999997"/>
    <b v="0"/>
  </r>
  <r>
    <x v="56"/>
    <s v="Aspen Medical 25"/>
    <s v="Other"/>
    <n v="67489.919999999998"/>
    <b v="0"/>
    <b v="0"/>
    <n v="5498.07"/>
    <n v="65721.55"/>
    <n v="1768.37"/>
    <b v="0"/>
  </r>
  <r>
    <x v="13"/>
    <s v="Canyon Renovation 38"/>
    <s v="Other"/>
    <n v="19135.009999999998"/>
    <b v="0"/>
    <b v="0"/>
    <n v="1523.7"/>
    <n v="19742.61"/>
    <n v="-607.6"/>
    <b v="0"/>
  </r>
  <r>
    <x v="46"/>
    <s v="Granite Lodge 46"/>
    <s v="General Conditions"/>
    <n v="78635.19"/>
    <b v="0"/>
    <b v="0"/>
    <n v="24310.39"/>
    <n v="64264.85"/>
    <n v="14370.34"/>
    <b v="0"/>
  </r>
  <r>
    <x v="34"/>
    <s v="Granite Lodge 47"/>
    <s v="Subcontractors"/>
    <n v="701034"/>
    <b v="0"/>
    <b v="0"/>
    <n v="0"/>
    <n v="707071.92"/>
    <n v="-6037.92"/>
    <b v="0"/>
  </r>
  <r>
    <x v="15"/>
    <s v="Bonneville Medical 58"/>
    <s v="Materials"/>
    <n v="99025"/>
    <b v="0"/>
    <b v="0"/>
    <n v="5399.31"/>
    <n v="97550.71"/>
    <n v="1474.29"/>
    <b v="0"/>
  </r>
  <r>
    <x v="16"/>
    <s v="Summit Office 63"/>
    <s v="Other"/>
    <n v="32299.85"/>
    <b v="0"/>
    <b v="0"/>
    <n v="1409.78"/>
    <n v="36040.51"/>
    <n v="-3740.66"/>
    <b v="0"/>
  </r>
  <r>
    <x v="17"/>
    <s v="Canyon Medical 66"/>
    <s v="Subcontractors"/>
    <n v="166779.03"/>
    <b v="0"/>
    <b v="0"/>
    <n v="10131.48"/>
    <n v="149433.24"/>
    <n v="17345.79"/>
    <b v="0"/>
  </r>
  <r>
    <x v="25"/>
    <s v="Copper Center 74"/>
    <s v="Materials"/>
    <n v="311880"/>
    <b v="0"/>
    <b v="0"/>
    <n v="23897.91"/>
    <n v="283924.19"/>
    <n v="27955.81"/>
    <b v="0"/>
  </r>
  <r>
    <x v="49"/>
    <s v="Granite Lodge 75"/>
    <s v="Subcontractors"/>
    <n v="563382"/>
    <b v="0"/>
    <b v="0"/>
    <n v="25478.15"/>
    <n v="518992.41"/>
    <n v="44389.59"/>
    <b v="0"/>
  </r>
  <r>
    <x v="19"/>
    <s v="Aspen Residences 78"/>
    <s v="Materials"/>
    <n v="361811.82"/>
    <b v="0"/>
    <b v="0"/>
    <n v="27303.96"/>
    <n v="291476.84000000003"/>
    <n v="70334.98"/>
    <b v="0"/>
  </r>
  <r>
    <x v="94"/>
    <s v="Canyon Center 81"/>
    <s v="Materials"/>
    <n v="181560"/>
    <b v="0"/>
    <b v="0"/>
    <n v="8404.75"/>
    <n v="130904.53"/>
    <n v="50655.47"/>
    <b v="0"/>
  </r>
  <r>
    <x v="9"/>
    <s v="Wasatch Renovation 83"/>
    <s v="Subcontractors"/>
    <n v="345650"/>
    <b v="0"/>
    <b v="0"/>
    <n v="0"/>
    <n v="351849.86"/>
    <n v="-6199.86"/>
    <b v="0"/>
  </r>
  <r>
    <x v="70"/>
    <s v="Aspen Center 89"/>
    <s v="Materials"/>
    <n v="283823"/>
    <b v="0"/>
    <b v="0"/>
    <n v="4177.55"/>
    <n v="34870.019999999997"/>
    <n v="248952.98"/>
    <b v="0"/>
  </r>
  <r>
    <x v="20"/>
    <s v="Granite Medical 91"/>
    <s v="Subcontractors"/>
    <n v="569403.25"/>
    <b v="0"/>
    <b v="0"/>
    <n v="15508.9"/>
    <n v="510519.76"/>
    <n v="58883.49"/>
    <b v="0"/>
  </r>
  <r>
    <x v="67"/>
    <s v="Granite Center 96"/>
    <s v="Subcontractors"/>
    <n v="684201"/>
    <b v="0"/>
    <b v="0"/>
    <n v="16292.51"/>
    <n v="194927.93"/>
    <n v="489273.07"/>
    <b v="0"/>
  </r>
  <r>
    <x v="90"/>
    <s v="Wasatch Renovation 02"/>
    <s v="Permits &amp; Fees"/>
    <n v="26544"/>
    <b v="0"/>
    <b v="0"/>
    <n v="3009.81"/>
    <n v="24516.59"/>
    <n v="2027.41"/>
    <b v="0"/>
  </r>
  <r>
    <x v="57"/>
    <s v="Granite Residences 32"/>
    <s v="Materials"/>
    <n v="454148.79"/>
    <b v="0"/>
    <b v="0"/>
    <n v="53256.69"/>
    <n v="486503.19"/>
    <n v="-32354.400000000001"/>
    <b v="0"/>
  </r>
  <r>
    <x v="58"/>
    <s v="Summit Commons 40"/>
    <s v="Materials"/>
    <n v="340728.89"/>
    <b v="0"/>
    <b v="0"/>
    <n v="24666.05"/>
    <n v="320374.43"/>
    <n v="20354.46"/>
    <b v="0"/>
  </r>
  <r>
    <x v="46"/>
    <s v="Granite Lodge 46"/>
    <s v="Equipment"/>
    <n v="48999.51"/>
    <b v="0"/>
    <b v="0"/>
    <n v="5139.74"/>
    <n v="43789.27"/>
    <n v="5210.24"/>
    <b v="0"/>
  </r>
  <r>
    <x v="22"/>
    <s v="Bonneville Office 48"/>
    <s v="Materials"/>
    <n v="132975.74"/>
    <b v="0"/>
    <b v="0"/>
    <n v="7807.63"/>
    <n v="142073.66"/>
    <n v="-9097.92"/>
    <b v="0"/>
  </r>
  <r>
    <x v="95"/>
    <s v="Wasatch Retail 82"/>
    <s v="Subcontractors"/>
    <n v="313380.37"/>
    <b v="0"/>
    <b v="0"/>
    <n v="17181.53"/>
    <n v="290170.90000000002"/>
    <n v="23209.47"/>
    <b v="0"/>
  </r>
  <r>
    <x v="26"/>
    <s v="Bonneville Renovation 84"/>
    <s v="Permits &amp; Fees"/>
    <n v="27525"/>
    <b v="0"/>
    <b v="0"/>
    <n v="1888.72"/>
    <n v="21769.75"/>
    <n v="5755.25"/>
    <b v="0"/>
  </r>
  <r>
    <x v="31"/>
    <s v="Summit Office 23"/>
    <s v="Permits &amp; Fees"/>
    <n v="76581"/>
    <b v="0"/>
    <b v="0"/>
    <n v="2170.41"/>
    <n v="83243.09"/>
    <n v="-6662.09"/>
    <b v="0"/>
  </r>
  <r>
    <x v="42"/>
    <s v="Bonneville Renovation 08"/>
    <s v="Materials"/>
    <n v="649320"/>
    <b v="0"/>
    <b v="0"/>
    <n v="62632.67"/>
    <n v="659200.04"/>
    <n v="-9880.0400000000009"/>
    <b v="0"/>
  </r>
  <r>
    <x v="80"/>
    <s v="Aspen Residences 59"/>
    <s v="Other"/>
    <n v="15615"/>
    <b v="0"/>
    <b v="0"/>
    <n v="0"/>
    <n v="17734.68"/>
    <n v="-2119.6799999999998"/>
    <b v="0"/>
  </r>
  <r>
    <x v="0"/>
    <s v="Juniper Retail 01"/>
    <s v="Subcontractors"/>
    <n v="232248.25"/>
    <b v="0"/>
    <b v="0"/>
    <n v="0"/>
    <n v="232027.57"/>
    <n v="220.68"/>
    <b v="0"/>
  </r>
  <r>
    <x v="11"/>
    <s v="Summit Center 03"/>
    <s v="Equipment"/>
    <n v="59808.11"/>
    <b v="0"/>
    <b v="0"/>
    <n v="2058.58"/>
    <n v="51385.69"/>
    <n v="8422.42"/>
    <b v="0"/>
  </r>
  <r>
    <x v="11"/>
    <s v="Summit Center 03"/>
    <s v="General Conditions"/>
    <n v="104525.85"/>
    <b v="0"/>
    <b v="0"/>
    <n v="11417.55"/>
    <n v="92987.91"/>
    <n v="11537.94"/>
    <b v="0"/>
  </r>
  <r>
    <x v="42"/>
    <s v="Bonneville Renovation 08"/>
    <s v="Permits &amp; Fees"/>
    <n v="139140"/>
    <b v="0"/>
    <b v="0"/>
    <n v="10714.68"/>
    <n v="138860.19"/>
    <n v="279.81"/>
    <b v="0"/>
  </r>
  <r>
    <x v="78"/>
    <s v="Juniper Medical 22"/>
    <s v="Permits &amp; Fees"/>
    <n v="88963.45"/>
    <b v="0"/>
    <b v="0"/>
    <n v="10740.7"/>
    <n v="77082.48"/>
    <n v="11880.97"/>
    <b v="0"/>
  </r>
  <r>
    <x v="31"/>
    <s v="Summit Office 23"/>
    <s v="Materials"/>
    <n v="740283"/>
    <b v="0"/>
    <b v="0"/>
    <n v="124570.46"/>
    <n v="688453.53"/>
    <n v="51829.47"/>
    <b v="0"/>
  </r>
  <r>
    <x v="84"/>
    <s v="Canyon Renovation 27"/>
    <s v="Equipment"/>
    <n v="87341.18"/>
    <b v="0"/>
    <b v="0"/>
    <n v="18990.48"/>
    <n v="69042.06"/>
    <n v="18299.12"/>
    <b v="0"/>
  </r>
  <r>
    <x v="84"/>
    <s v="Canyon Renovation 27"/>
    <s v="General Conditions"/>
    <n v="139841.63"/>
    <b v="0"/>
    <b v="0"/>
    <n v="21518.46"/>
    <n v="129267.48"/>
    <n v="10574.15"/>
    <b v="0"/>
  </r>
  <r>
    <x v="57"/>
    <s v="Granite Residences 32"/>
    <s v="Permits &amp; Fees"/>
    <n v="71371.8"/>
    <b v="0"/>
    <b v="0"/>
    <n v="7867.14"/>
    <n v="67139.039999999994"/>
    <n v="4232.76"/>
    <b v="0"/>
  </r>
  <r>
    <x v="64"/>
    <s v="Wasatch Medical 37"/>
    <s v="General Conditions"/>
    <n v="79188.320000000007"/>
    <b v="0"/>
    <b v="0"/>
    <n v="4259.08"/>
    <n v="80505.61"/>
    <n v="-1317.29"/>
    <b v="0"/>
  </r>
  <r>
    <x v="13"/>
    <s v="Canyon Renovation 38"/>
    <s v="Subcontractors"/>
    <n v="179797.56"/>
    <b v="0"/>
    <b v="0"/>
    <n v="0"/>
    <n v="194605.31"/>
    <n v="-14807.75"/>
    <b v="0"/>
  </r>
  <r>
    <x v="58"/>
    <s v="Summit Commons 40"/>
    <s v="Permits &amp; Fees"/>
    <n v="31676.560000000001"/>
    <b v="0"/>
    <b v="0"/>
    <n v="4788.25"/>
    <n v="26156.959999999999"/>
    <n v="5519.6"/>
    <b v="0"/>
  </r>
  <r>
    <x v="34"/>
    <s v="Granite Lodge 47"/>
    <s v="Other"/>
    <n v="45228"/>
    <b v="0"/>
    <b v="0"/>
    <n v="8337"/>
    <n v="37952.11"/>
    <n v="7275.89"/>
    <b v="0"/>
  </r>
  <r>
    <x v="35"/>
    <s v="Granite Office 54"/>
    <s v="Equipment"/>
    <n v="16625.14"/>
    <b v="0"/>
    <b v="0"/>
    <n v="0"/>
    <n v="15078.63"/>
    <n v="1546.51"/>
    <b v="0"/>
  </r>
  <r>
    <x v="35"/>
    <s v="Granite Office 54"/>
    <s v="General Conditions"/>
    <n v="29074.57"/>
    <b v="0"/>
    <b v="0"/>
    <n v="1363.04"/>
    <n v="27546.3"/>
    <n v="1528.27"/>
    <b v="0"/>
  </r>
  <r>
    <x v="80"/>
    <s v="Aspen Residences 59"/>
    <s v="Subcontractors"/>
    <n v="145740"/>
    <b v="0"/>
    <b v="0"/>
    <n v="19271.72"/>
    <n v="136883.06"/>
    <n v="8856.94"/>
    <b v="0"/>
  </r>
  <r>
    <x v="16"/>
    <s v="Summit Office 63"/>
    <s v="Subcontractors"/>
    <n v="302372.88"/>
    <b v="0"/>
    <b v="0"/>
    <n v="35078.83"/>
    <n v="297838.21000000002"/>
    <n v="4534.67"/>
    <b v="0"/>
  </r>
  <r>
    <x v="72"/>
    <s v="Granite Commons 70"/>
    <s v="Equipment"/>
    <n v="49429.26"/>
    <b v="0"/>
    <b v="0"/>
    <n v="6426.49"/>
    <n v="44767.66"/>
    <n v="4661.6000000000004"/>
    <b v="0"/>
  </r>
  <r>
    <x v="39"/>
    <s v="Wasatch Office 71"/>
    <s v="Equipment"/>
    <n v="26134.69"/>
    <b v="0"/>
    <b v="0"/>
    <n v="1787.43"/>
    <n v="25286.240000000002"/>
    <n v="848.45"/>
    <b v="0"/>
  </r>
  <r>
    <x v="39"/>
    <s v="Wasatch Office 71"/>
    <s v="General Conditions"/>
    <n v="45681.15"/>
    <b v="0"/>
    <b v="0"/>
    <n v="3689.46"/>
    <n v="45364.84"/>
    <n v="316.31"/>
    <b v="0"/>
  </r>
  <r>
    <x v="49"/>
    <s v="Granite Lodge 75"/>
    <s v="Other"/>
    <n v="62598"/>
    <b v="0"/>
    <b v="0"/>
    <n v="5101.38"/>
    <n v="60931.54"/>
    <n v="1666.46"/>
    <b v="0"/>
  </r>
  <r>
    <x v="50"/>
    <s v="Aspen Lodge 80"/>
    <s v="General Conditions"/>
    <n v="39294"/>
    <b v="0"/>
    <b v="0"/>
    <n v="1165.3399999999999"/>
    <n v="31974.61"/>
    <n v="7319.39"/>
    <b v="0"/>
  </r>
  <r>
    <x v="94"/>
    <s v="Canyon Center 81"/>
    <s v="Permits &amp; Fees"/>
    <n v="30260"/>
    <b v="0"/>
    <b v="0"/>
    <n v="2641.86"/>
    <n v="19518.25"/>
    <n v="10741.75"/>
    <b v="0"/>
  </r>
  <r>
    <x v="95"/>
    <s v="Wasatch Retail 82"/>
    <s v="Other"/>
    <n v="45740.59"/>
    <b v="0"/>
    <b v="0"/>
    <n v="0"/>
    <n v="39569.79"/>
    <n v="6170.8"/>
    <b v="0"/>
  </r>
  <r>
    <x v="9"/>
    <s v="Wasatch Renovation 83"/>
    <s v="Other"/>
    <n v="33450"/>
    <b v="0"/>
    <b v="0"/>
    <n v="3284.05"/>
    <n v="30718.240000000002"/>
    <n v="2731.76"/>
    <b v="0"/>
  </r>
  <r>
    <x v="88"/>
    <s v="Summit Residences 85"/>
    <s v="Equipment"/>
    <n v="44753.42"/>
    <b v="0"/>
    <b v="0"/>
    <n v="1142.47"/>
    <n v="40787.99"/>
    <n v="3965.43"/>
    <b v="0"/>
  </r>
  <r>
    <x v="70"/>
    <s v="Aspen Center 89"/>
    <s v="Permits &amp; Fees"/>
    <n v="29361"/>
    <b v="0"/>
    <b v="0"/>
    <n v="329.09"/>
    <n v="3576.67"/>
    <n v="25784.33"/>
    <b v="0"/>
  </r>
  <r>
    <x v="20"/>
    <s v="Granite Medical 91"/>
    <s v="Other"/>
    <n v="54461.15"/>
    <b v="0"/>
    <b v="0"/>
    <n v="7681.32"/>
    <n v="41570.58"/>
    <n v="12890.57"/>
    <b v="0"/>
  </r>
  <r>
    <x v="67"/>
    <s v="Granite Center 96"/>
    <s v="Other"/>
    <n v="44142"/>
    <b v="0"/>
    <b v="0"/>
    <n v="2701.22"/>
    <n v="12267.02"/>
    <n v="31874.98"/>
    <b v="0"/>
  </r>
  <r>
    <x v="90"/>
    <s v="Wasatch Renovation 02"/>
    <s v="Materials"/>
    <n v="165900"/>
    <b v="0"/>
    <b v="0"/>
    <n v="11284.34"/>
    <n v="156686.28"/>
    <n v="9213.7199999999993"/>
    <b v="0"/>
  </r>
  <r>
    <x v="28"/>
    <s v="Wasatch Retail 09"/>
    <s v="Materials"/>
    <n v="138400"/>
    <b v="0"/>
    <b v="0"/>
    <n v="11806.81"/>
    <n v="147878.70000000001"/>
    <n v="-9478.7000000000007"/>
    <b v="0"/>
  </r>
  <r>
    <x v="68"/>
    <s v="Juniper Office 10"/>
    <s v="Permits &amp; Fees"/>
    <n v="22543.81"/>
    <b v="0"/>
    <b v="0"/>
    <n v="1685.05"/>
    <n v="19431.5"/>
    <n v="3112.31"/>
    <b v="0"/>
  </r>
  <r>
    <x v="83"/>
    <s v="Wasatch Center 19"/>
    <s v="Subcontractors"/>
    <n v="86827.98"/>
    <b v="0"/>
    <b v="0"/>
    <n v="14880.03"/>
    <n v="79992.03"/>
    <n v="6835.95"/>
    <b v="0"/>
  </r>
  <r>
    <x v="64"/>
    <s v="Wasatch Medical 37"/>
    <s v="Equipment"/>
    <n v="49476.79"/>
    <b v="0"/>
    <b v="0"/>
    <n v="0"/>
    <n v="49880.99"/>
    <n v="-404.2"/>
    <b v="0"/>
  </r>
  <r>
    <x v="53"/>
    <s v="Granite Lodge 50"/>
    <s v="General Conditions"/>
    <n v="96633.75"/>
    <b v="0"/>
    <b v="0"/>
    <n v="6885.29"/>
    <n v="102078.96"/>
    <n v="-5445.21"/>
    <b v="0"/>
  </r>
  <r>
    <x v="15"/>
    <s v="Bonneville Medical 58"/>
    <s v="Permits &amp; Fees"/>
    <n v="15844"/>
    <b v="0"/>
    <b v="0"/>
    <n v="900.42"/>
    <n v="14897.26"/>
    <n v="946.74"/>
    <b v="0"/>
  </r>
  <r>
    <x v="17"/>
    <s v="Canyon Medical 66"/>
    <s v="Other"/>
    <n v="17749.38"/>
    <b v="0"/>
    <b v="0"/>
    <n v="1630.74"/>
    <n v="13942.13"/>
    <n v="3807.25"/>
    <b v="0"/>
  </r>
  <r>
    <x v="26"/>
    <s v="Bonneville Renovation 84"/>
    <s v="Materials"/>
    <n v="266075"/>
    <b v="0"/>
    <b v="0"/>
    <n v="65624.72"/>
    <n v="176400.77"/>
    <n v="89674.23"/>
    <b v="0"/>
  </r>
  <r>
    <x v="56"/>
    <s v="Aspen Medical 25"/>
    <s v="Subcontractors"/>
    <n v="612723.56000000006"/>
    <b v="0"/>
    <b v="0"/>
    <n v="113418.61"/>
    <n v="505562.83"/>
    <n v="107160.73"/>
    <b v="0"/>
  </r>
  <r>
    <x v="53"/>
    <s v="Granite Lodge 50"/>
    <s v="Equipment"/>
    <n v="43036.65"/>
    <b v="0"/>
    <b v="0"/>
    <n v="5162.8999999999996"/>
    <n v="40075.870000000003"/>
    <n v="2960.78"/>
    <b v="0"/>
  </r>
  <r>
    <x v="72"/>
    <s v="Granite Commons 70"/>
    <s v="General Conditions"/>
    <n v="86398.76"/>
    <b v="0"/>
    <b v="0"/>
    <n v="7211.57"/>
    <n v="84390.61"/>
    <n v="2008.15"/>
    <b v="0"/>
  </r>
  <r>
    <x v="25"/>
    <s v="Copper Center 74"/>
    <s v="Permits &amp; Fees"/>
    <n v="51980"/>
    <b v="0"/>
    <b v="0"/>
    <n v="4067.15"/>
    <n v="45168.01"/>
    <n v="6811.99"/>
    <b v="0"/>
  </r>
  <r>
    <x v="19"/>
    <s v="Aspen Residences 78"/>
    <s v="Permits &amp; Fees"/>
    <n v="37095.99"/>
    <b v="0"/>
    <b v="0"/>
    <n v="3792.33"/>
    <n v="26725.41"/>
    <n v="10370.58"/>
    <b v="0"/>
  </r>
  <r>
    <x v="50"/>
    <s v="Aspen Lodge 80"/>
    <s v="Equipment"/>
    <n v="17464"/>
    <b v="0"/>
    <b v="0"/>
    <n v="305.19"/>
    <n v="14052.41"/>
    <n v="3411.59"/>
    <b v="0"/>
  </r>
  <r>
    <x v="88"/>
    <s v="Summit Residences 85"/>
    <s v="General Conditions"/>
    <n v="62758.37"/>
    <b v="0"/>
    <b v="0"/>
    <n v="4149.37"/>
    <n v="53701.73"/>
    <n v="9056.64"/>
    <b v="0"/>
  </r>
  <r>
    <x v="22"/>
    <s v="Bonneville Office 48"/>
    <s v="Permits &amp; Fees"/>
    <n v="20347.36"/>
    <b v="0"/>
    <b v="0"/>
    <n v="1217.8"/>
    <n v="20286.63"/>
    <n v="60.73"/>
    <b v="0"/>
  </r>
  <r>
    <x v="11"/>
    <s v="Summit Center 03"/>
    <s v="Materials"/>
    <n v="424743.83"/>
    <b v="0"/>
    <b v="0"/>
    <n v="0"/>
    <n v="429233.55"/>
    <n v="-4489.72"/>
    <b v="0"/>
  </r>
  <r>
    <x v="28"/>
    <s v="Wasatch Retail 09"/>
    <s v="Equipment"/>
    <n v="22144"/>
    <b v="0"/>
    <b v="0"/>
    <n v="1745.12"/>
    <n v="22309.62"/>
    <n v="-165.62"/>
    <b v="0"/>
  </r>
  <r>
    <x v="55"/>
    <s v="Wasatch Renovation 18"/>
    <s v="Subcontractors"/>
    <n v="327051"/>
    <b v="0"/>
    <b v="0"/>
    <n v="38033.910000000003"/>
    <n v="315650.02"/>
    <n v="11400.98"/>
    <b v="0"/>
  </r>
  <r>
    <x v="31"/>
    <s v="Summit Office 23"/>
    <s v="Equipment"/>
    <n v="127635"/>
    <b v="0"/>
    <b v="0"/>
    <n v="0"/>
    <n v="135081.85"/>
    <n v="-7446.85"/>
    <b v="0"/>
  </r>
  <r>
    <x v="31"/>
    <s v="Summit Office 23"/>
    <s v="General Conditions"/>
    <n v="178689"/>
    <b v="0"/>
    <b v="0"/>
    <n v="8418.0400000000009"/>
    <n v="205684.31"/>
    <n v="-26995.31"/>
    <b v="0"/>
  </r>
  <r>
    <x v="64"/>
    <s v="Wasatch Medical 37"/>
    <s v="Materials"/>
    <n v="239728.43"/>
    <b v="0"/>
    <b v="0"/>
    <n v="56924.03"/>
    <n v="194453.06"/>
    <n v="45275.37"/>
    <b v="0"/>
  </r>
  <r>
    <x v="14"/>
    <s v="Granite Commons 39"/>
    <s v="Other"/>
    <n v="17427"/>
    <b v="0"/>
    <b v="0"/>
    <n v="1950.36"/>
    <n v="15218.34"/>
    <n v="2208.66"/>
    <b v="0"/>
  </r>
  <r>
    <x v="46"/>
    <s v="Granite Lodge 46"/>
    <s v="Permits &amp; Fees"/>
    <n v="38727.67"/>
    <b v="0"/>
    <b v="0"/>
    <n v="6013.93"/>
    <n v="35052.82"/>
    <n v="3674.85"/>
    <b v="0"/>
  </r>
  <r>
    <x v="35"/>
    <s v="Granite Office 54"/>
    <s v="Materials"/>
    <n v="133622.82"/>
    <b v="0"/>
    <b v="0"/>
    <n v="0"/>
    <n v="132470.73000000001"/>
    <n v="1152.0899999999999"/>
    <b v="0"/>
  </r>
  <r>
    <x v="72"/>
    <s v="Granite Commons 70"/>
    <s v="Materials"/>
    <n v="350512.09"/>
    <b v="0"/>
    <b v="0"/>
    <n v="19256.89"/>
    <n v="391861.81"/>
    <n v="-41349.72"/>
    <b v="0"/>
  </r>
  <r>
    <x v="39"/>
    <s v="Wasatch Office 71"/>
    <s v="Materials"/>
    <n v="185343.37"/>
    <b v="0"/>
    <b v="0"/>
    <n v="20725.62"/>
    <n v="186683.22"/>
    <n v="-1339.85"/>
    <b v="0"/>
  </r>
  <r>
    <x v="8"/>
    <s v="Canyon Residences 77"/>
    <s v="Other"/>
    <n v="27084.91"/>
    <b v="0"/>
    <b v="0"/>
    <n v="6430.68"/>
    <n v="16636.62"/>
    <n v="10448.290000000001"/>
    <b v="0"/>
  </r>
  <r>
    <x v="26"/>
    <s v="Bonneville Renovation 84"/>
    <s v="Equipment"/>
    <n v="45875"/>
    <b v="0"/>
    <b v="0"/>
    <n v="2482.75"/>
    <n v="36343.14"/>
    <n v="9531.86"/>
    <b v="0"/>
  </r>
  <r>
    <x v="26"/>
    <s v="Bonneville Renovation 84"/>
    <s v="General Conditions"/>
    <n v="64225"/>
    <b v="0"/>
    <b v="0"/>
    <n v="7250.69"/>
    <n v="50161.94"/>
    <n v="14063.06"/>
    <b v="0"/>
  </r>
  <r>
    <x v="27"/>
    <s v="Copper Office 87"/>
    <s v="Other"/>
    <n v="70006.259999999995"/>
    <b v="0"/>
    <b v="0"/>
    <n v="7391.54"/>
    <n v="27636.05"/>
    <n v="42370.21"/>
    <b v="0"/>
  </r>
  <r>
    <x v="90"/>
    <s v="Wasatch Renovation 02"/>
    <s v="Equipment"/>
    <n v="26544"/>
    <b v="0"/>
    <b v="0"/>
    <n v="522.13"/>
    <n v="27193.18"/>
    <n v="-649.17999999999995"/>
    <b v="0"/>
  </r>
  <r>
    <x v="90"/>
    <s v="Wasatch Renovation 02"/>
    <s v="General Conditions"/>
    <n v="59724"/>
    <b v="0"/>
    <b v="0"/>
    <n v="6081.04"/>
    <n v="52990.27"/>
    <n v="6733.73"/>
    <b v="0"/>
  </r>
  <r>
    <x v="2"/>
    <s v="Granite Commons 06"/>
    <s v="Subcontractors"/>
    <n v="398567"/>
    <b v="0"/>
    <b v="0"/>
    <n v="26990.98"/>
    <n v="389700.22"/>
    <n v="8866.7800000000007"/>
    <b v="0"/>
  </r>
  <r>
    <x v="28"/>
    <s v="Wasatch Retail 09"/>
    <s v="General Conditions"/>
    <n v="49824"/>
    <b v="0"/>
    <b v="0"/>
    <n v="7280.8"/>
    <n v="49731.82"/>
    <n v="92.18"/>
    <b v="0"/>
  </r>
  <r>
    <x v="36"/>
    <s v="Canyon Retail 12"/>
    <s v="Other"/>
    <n v="22761.3"/>
    <b v="0"/>
    <b v="0"/>
    <n v="2481.33"/>
    <n v="18069.62"/>
    <n v="4691.68"/>
    <b v="0"/>
  </r>
  <r>
    <x v="61"/>
    <s v="Bonneville Lodge 14"/>
    <s v="Permits &amp; Fees"/>
    <n v="146292"/>
    <b v="0"/>
    <b v="0"/>
    <n v="0"/>
    <n v="164317.20000000001"/>
    <n v="-18025.2"/>
    <b v="0"/>
  </r>
  <r>
    <x v="84"/>
    <s v="Canyon Renovation 27"/>
    <s v="Materials"/>
    <n v="427663.25"/>
    <b v="0"/>
    <b v="0"/>
    <n v="75493.350000000006"/>
    <n v="400926.26"/>
    <n v="26736.99"/>
    <b v="0"/>
  </r>
  <r>
    <x v="63"/>
    <s v="Granite Center 30"/>
    <s v="Other"/>
    <n v="51670.02"/>
    <b v="0"/>
    <b v="0"/>
    <n v="0"/>
    <n v="56610.1"/>
    <n v="-4940.08"/>
    <b v="0"/>
  </r>
  <r>
    <x v="12"/>
    <s v="Bonneville Office 34"/>
    <s v="Subcontractors"/>
    <n v="166594"/>
    <b v="0"/>
    <b v="0"/>
    <n v="28374.22"/>
    <n v="151463.07999999999"/>
    <n v="15130.92"/>
    <b v="0"/>
  </r>
  <r>
    <x v="53"/>
    <s v="Granite Lodge 50"/>
    <s v="Materials"/>
    <n v="270483.57"/>
    <b v="0"/>
    <b v="0"/>
    <n v="14696.2"/>
    <n v="290963.68"/>
    <n v="-20480.11"/>
    <b v="0"/>
  </r>
  <r>
    <x v="50"/>
    <s v="Aspen Lodge 80"/>
    <s v="Materials"/>
    <n v="109150"/>
    <b v="0"/>
    <b v="0"/>
    <n v="13046.6"/>
    <n v="76654.259999999995"/>
    <n v="32495.74"/>
    <b v="0"/>
  </r>
  <r>
    <x v="88"/>
    <s v="Summit Residences 85"/>
    <s v="Materials"/>
    <n v="261460.18"/>
    <b v="0"/>
    <b v="0"/>
    <n v="9935.39"/>
    <n v="243780.23"/>
    <n v="17679.95"/>
    <b v="0"/>
  </r>
  <r>
    <x v="10"/>
    <s v="Summit Lodge 95"/>
    <s v="Subcontractors"/>
    <n v="148400"/>
    <b v="0"/>
    <b v="0"/>
    <n v="24306.81"/>
    <n v="93468.33"/>
    <n v="54931.67"/>
    <b v="0"/>
  </r>
  <r>
    <x v="77"/>
    <s v="Summit Retail 17"/>
    <s v="Permits &amp; Fees"/>
    <n v="37193.86"/>
    <b v="0"/>
    <b v="0"/>
    <n v="6201.6"/>
    <n v="30987.73"/>
    <n v="6206.13"/>
    <b v="0"/>
  </r>
  <r>
    <x v="11"/>
    <s v="Summit Center 03"/>
    <s v="Permits &amp; Fees"/>
    <n v="88328.74"/>
    <b v="0"/>
    <b v="0"/>
    <n v="12702.38"/>
    <n v="77720.69"/>
    <n v="10608.05"/>
    <b v="0"/>
  </r>
  <r>
    <x v="2"/>
    <s v="Granite Commons 06"/>
    <s v="Other"/>
    <n v="38571"/>
    <b v="0"/>
    <b v="0"/>
    <n v="1176.57"/>
    <n v="41091.43"/>
    <n v="-2520.4299999999998"/>
    <b v="0"/>
  </r>
  <r>
    <x v="42"/>
    <s v="Bonneville Renovation 08"/>
    <s v="Equipment"/>
    <n v="92760"/>
    <b v="0"/>
    <b v="0"/>
    <n v="0"/>
    <n v="91869.58"/>
    <n v="890.42"/>
    <b v="0"/>
  </r>
  <r>
    <x v="42"/>
    <s v="Bonneville Renovation 08"/>
    <s v="General Conditions"/>
    <n v="162330"/>
    <b v="0"/>
    <b v="0"/>
    <n v="13476.13"/>
    <n v="148756.59"/>
    <n v="13573.41"/>
    <b v="0"/>
  </r>
  <r>
    <x v="36"/>
    <s v="Canyon Retail 12"/>
    <s v="Subcontractors"/>
    <n v="348189.4"/>
    <b v="0"/>
    <b v="0"/>
    <n v="71929.7"/>
    <n v="291763.27"/>
    <n v="56426.13"/>
    <b v="0"/>
  </r>
  <r>
    <x v="55"/>
    <s v="Wasatch Renovation 18"/>
    <s v="Other"/>
    <n v="36339"/>
    <b v="0"/>
    <b v="0"/>
    <n v="5498.44"/>
    <n v="35530.550000000003"/>
    <n v="808.45"/>
    <b v="0"/>
  </r>
  <r>
    <x v="78"/>
    <s v="Juniper Medical 22"/>
    <s v="Equipment"/>
    <n v="148030.18"/>
    <b v="0"/>
    <b v="0"/>
    <n v="16648.87"/>
    <n v="125974"/>
    <n v="22056.18"/>
    <b v="0"/>
  </r>
  <r>
    <x v="78"/>
    <s v="Juniper Medical 22"/>
    <s v="General Conditions"/>
    <n v="207823.63"/>
    <b v="0"/>
    <b v="0"/>
    <n v="28962.89"/>
    <n v="189178.61"/>
    <n v="18645.02"/>
    <b v="0"/>
  </r>
  <r>
    <x v="84"/>
    <s v="Canyon Renovation 27"/>
    <s v="Permits &amp; Fees"/>
    <n v="69681.45"/>
    <b v="0"/>
    <b v="0"/>
    <n v="11018.63"/>
    <n v="64702.02"/>
    <n v="4979.43"/>
    <b v="0"/>
  </r>
  <r>
    <x v="57"/>
    <s v="Granite Residences 32"/>
    <s v="Equipment"/>
    <n v="89862.7"/>
    <b v="0"/>
    <b v="0"/>
    <n v="0"/>
    <n v="99374.399999999994"/>
    <n v="-9511.7000000000007"/>
    <b v="0"/>
  </r>
  <r>
    <x v="57"/>
    <s v="Granite Residences 32"/>
    <s v="General Conditions"/>
    <n v="144039.5"/>
    <b v="0"/>
    <b v="0"/>
    <n v="16713.41"/>
    <n v="152853.01"/>
    <n v="-8813.51"/>
    <b v="0"/>
  </r>
  <r>
    <x v="12"/>
    <s v="Bonneville Office 34"/>
    <s v="Other"/>
    <n v="16122"/>
    <b v="0"/>
    <b v="0"/>
    <n v="1990.94"/>
    <n v="17221.849999999999"/>
    <n v="-1099.8499999999999"/>
    <b v="0"/>
  </r>
  <r>
    <x v="64"/>
    <s v="Wasatch Medical 37"/>
    <s v="Permits &amp; Fees"/>
    <n v="39530.53"/>
    <b v="0"/>
    <b v="0"/>
    <n v="5532.02"/>
    <n v="36141.26"/>
    <n v="3389.27"/>
    <b v="0"/>
  </r>
  <r>
    <x v="14"/>
    <s v="Granite Commons 39"/>
    <s v="Subcontractors"/>
    <n v="162652"/>
    <b v="0"/>
    <b v="0"/>
    <n v="4371.57"/>
    <n v="166982.84"/>
    <n v="-4330.84"/>
    <b v="0"/>
  </r>
  <r>
    <x v="58"/>
    <s v="Summit Commons 40"/>
    <s v="Equipment"/>
    <n v="42324.33"/>
    <b v="0"/>
    <b v="0"/>
    <n v="9514.2099999999991"/>
    <n v="30692.57"/>
    <n v="11631.76"/>
    <b v="0"/>
  </r>
  <r>
    <x v="58"/>
    <s v="Summit Commons 40"/>
    <s v="General Conditions"/>
    <n v="74000.89"/>
    <b v="0"/>
    <b v="0"/>
    <n v="5413.24"/>
    <n v="67738.289999999994"/>
    <n v="6262.6"/>
    <b v="0"/>
  </r>
  <r>
    <x v="46"/>
    <s v="Granite Lodge 46"/>
    <s v="Materials"/>
    <n v="255962.8"/>
    <b v="0"/>
    <b v="0"/>
    <n v="0"/>
    <n v="282902.93"/>
    <n v="-26940.13"/>
    <b v="0"/>
  </r>
  <r>
    <x v="22"/>
    <s v="Bonneville Office 48"/>
    <s v="Equipment"/>
    <n v="20645.04"/>
    <b v="0"/>
    <b v="0"/>
    <n v="2596.61"/>
    <n v="19105.830000000002"/>
    <n v="1539.21"/>
    <b v="0"/>
  </r>
  <r>
    <x v="53"/>
    <s v="Granite Lodge 50"/>
    <s v="Permits &amp; Fees"/>
    <n v="42923.1"/>
    <b v="0"/>
    <b v="0"/>
    <n v="2044.63"/>
    <n v="44517.16"/>
    <n v="-1594.06"/>
    <b v="0"/>
  </r>
  <r>
    <x v="35"/>
    <s v="Granite Office 54"/>
    <s v="Permits &amp; Fees"/>
    <n v="12449.43"/>
    <b v="0"/>
    <b v="0"/>
    <n v="569.69000000000005"/>
    <n v="11540.71"/>
    <n v="908.72"/>
    <b v="0"/>
  </r>
  <r>
    <x v="15"/>
    <s v="Bonneville Medical 58"/>
    <s v="Equipment"/>
    <n v="15844"/>
    <b v="0"/>
    <b v="0"/>
    <n v="3203.01"/>
    <n v="12959.31"/>
    <n v="2884.69"/>
    <b v="0"/>
  </r>
  <r>
    <x v="39"/>
    <s v="Wasatch Office 71"/>
    <s v="Permits &amp; Fees"/>
    <n v="38656.46"/>
    <b v="0"/>
    <b v="0"/>
    <n v="2488.7399999999998"/>
    <n v="41015.18"/>
    <n v="-2358.7199999999998"/>
    <b v="0"/>
  </r>
  <r>
    <x v="25"/>
    <s v="Copper Center 74"/>
    <s v="Equipment"/>
    <n v="64975"/>
    <b v="0"/>
    <b v="0"/>
    <n v="7916.61"/>
    <n v="53356.61"/>
    <n v="11618.39"/>
    <b v="0"/>
  </r>
  <r>
    <x v="25"/>
    <s v="Copper Center 74"/>
    <s v="General Conditions"/>
    <n v="103960"/>
    <b v="0"/>
    <b v="0"/>
    <n v="5100.8"/>
    <n v="99457.42"/>
    <n v="4502.58"/>
    <b v="0"/>
  </r>
  <r>
    <x v="8"/>
    <s v="Canyon Residences 77"/>
    <s v="Subcontractors"/>
    <n v="278759.38"/>
    <b v="0"/>
    <b v="0"/>
    <n v="43066.29"/>
    <n v="192104.36"/>
    <n v="86655.02"/>
    <b v="0"/>
  </r>
  <r>
    <x v="19"/>
    <s v="Aspen Residences 78"/>
    <s v="Equipment"/>
    <n v="61741.98"/>
    <b v="0"/>
    <b v="0"/>
    <n v="6438.69"/>
    <n v="43034.54"/>
    <n v="18707.439999999999"/>
    <b v="0"/>
  </r>
  <r>
    <x v="19"/>
    <s v="Aspen Residences 78"/>
    <s v="General Conditions"/>
    <n v="86641.97"/>
    <b v="0"/>
    <b v="0"/>
    <n v="5953.69"/>
    <n v="68712.570000000007"/>
    <n v="17929.400000000001"/>
    <b v="0"/>
  </r>
  <r>
    <x v="50"/>
    <s v="Aspen Lodge 80"/>
    <s v="Permits &amp; Fees"/>
    <n v="17464"/>
    <b v="0"/>
    <b v="0"/>
    <n v="357.02"/>
    <n v="13103.41"/>
    <n v="4360.59"/>
    <b v="0"/>
  </r>
  <r>
    <x v="94"/>
    <s v="Canyon Center 81"/>
    <s v="Equipment"/>
    <n v="37825"/>
    <b v="0"/>
    <b v="0"/>
    <n v="2004.98"/>
    <n v="26297.43"/>
    <n v="11527.57"/>
    <b v="0"/>
  </r>
  <r>
    <x v="94"/>
    <s v="Canyon Center 81"/>
    <s v="General Conditions"/>
    <n v="60520"/>
    <b v="0"/>
    <b v="0"/>
    <n v="4201.82"/>
    <n v="44011.83"/>
    <n v="16508.169999999998"/>
    <b v="0"/>
  </r>
  <r>
    <x v="27"/>
    <s v="Copper Office 87"/>
    <s v="Subcontractors"/>
    <n v="632167.91"/>
    <b v="0"/>
    <b v="0"/>
    <n v="24933.16"/>
    <n v="267844.26"/>
    <n v="364323.65"/>
    <b v="0"/>
  </r>
  <r>
    <x v="70"/>
    <s v="Aspen Center 89"/>
    <s v="Equipment"/>
    <n v="48935"/>
    <b v="0"/>
    <b v="0"/>
    <n v="1101.8800000000001"/>
    <n v="5032.1499999999996"/>
    <n v="43902.85"/>
    <b v="0"/>
  </r>
  <r>
    <x v="10"/>
    <s v="Summit Lodge 95"/>
    <s v="Other"/>
    <n v="15900"/>
    <b v="0"/>
    <b v="0"/>
    <n v="917.33"/>
    <n v="11719.51"/>
    <n v="4180.49"/>
    <b v="0"/>
  </r>
  <r>
    <x v="68"/>
    <s v="Juniper Office 10"/>
    <s v="Equipment"/>
    <n v="28421.71"/>
    <b v="0"/>
    <b v="0"/>
    <n v="2760.53"/>
    <n v="23762.43"/>
    <n v="4659.28"/>
    <b v="0"/>
  </r>
  <r>
    <x v="68"/>
    <s v="Juniper Office 10"/>
    <s v="General Conditions"/>
    <n v="45571.519999999997"/>
    <b v="0"/>
    <b v="0"/>
    <n v="3490.81"/>
    <n v="38787.99"/>
    <n v="6783.53"/>
    <b v="0"/>
  </r>
  <r>
    <x v="61"/>
    <s v="Bonneville Lodge 14"/>
    <s v="Materials"/>
    <n v="682696"/>
    <b v="0"/>
    <b v="0"/>
    <n v="56529.18"/>
    <n v="699624.33"/>
    <n v="-16928.330000000002"/>
    <b v="0"/>
  </r>
  <r>
    <x v="77"/>
    <s v="Summit Retail 17"/>
    <s v="Materials"/>
    <n v="403453.8"/>
    <b v="0"/>
    <b v="0"/>
    <n v="50963.48"/>
    <n v="387180.73"/>
    <n v="16273.07"/>
    <b v="0"/>
  </r>
  <r>
    <x v="22"/>
    <s v="Bonneville Office 48"/>
    <s v="General Conditions"/>
    <n v="45930.400000000001"/>
    <b v="0"/>
    <b v="0"/>
    <n v="13039.31"/>
    <n v="37634.54"/>
    <n v="8295.86"/>
    <b v="0"/>
  </r>
  <r>
    <x v="88"/>
    <s v="Summit Residences 85"/>
    <s v="Permits &amp; Fees"/>
    <n v="26877.95"/>
    <b v="0"/>
    <b v="0"/>
    <n v="0"/>
    <n v="23078.720000000001"/>
    <n v="3799.23"/>
    <b v="0"/>
  </r>
  <r>
    <x v="70"/>
    <s v="Aspen Center 89"/>
    <s v="General Conditions"/>
    <n v="68509"/>
    <b v="0"/>
    <b v="0"/>
    <n v="0"/>
    <n v="9621.82"/>
    <n v="58887.18"/>
    <b v="0"/>
  </r>
  <r>
    <x v="63"/>
    <s v="Granite Center 30"/>
    <s v="Subcontractors"/>
    <n v="389225.37"/>
    <b v="0"/>
    <b v="0"/>
    <n v="102645.06"/>
    <n v="301558.44"/>
    <n v="87666.93"/>
    <b v="0"/>
  </r>
  <r>
    <x v="15"/>
    <s v="Bonneville Medical 58"/>
    <s v="General Conditions"/>
    <n v="35649"/>
    <b v="0"/>
    <b v="0"/>
    <n v="1561.32"/>
    <n v="35047.79"/>
    <n v="601.21"/>
    <b v="0"/>
  </r>
  <r>
    <x v="72"/>
    <s v="Granite Commons 70"/>
    <s v="Permits &amp; Fees"/>
    <n v="73119.509999999995"/>
    <b v="0"/>
    <b v="0"/>
    <n v="10787.62"/>
    <n v="71897.539999999994"/>
    <n v="1221.97"/>
    <b v="0"/>
  </r>
  <r>
    <x v="11"/>
    <s v="Summit Center 03"/>
    <s v="Other"/>
    <n v="30180.73"/>
    <b v="0"/>
    <b v="0"/>
    <n v="1258.8800000000001"/>
    <n v="24353.59"/>
    <n v="5827.14"/>
    <b v="0"/>
  </r>
  <r>
    <x v="2"/>
    <s v="Granite Commons 06"/>
    <s v="Permits &amp; Fees"/>
    <n v="51428"/>
    <b v="0"/>
    <b v="0"/>
    <n v="7478.77"/>
    <n v="43386.75"/>
    <n v="8041.25"/>
    <b v="0"/>
  </r>
  <r>
    <x v="61"/>
    <s v="Bonneville Lodge 14"/>
    <s v="Subcontractors"/>
    <n v="755842"/>
    <b v="0"/>
    <b v="0"/>
    <n v="0"/>
    <n v="799822.39"/>
    <n v="-43980.39"/>
    <b v="0"/>
  </r>
  <r>
    <x v="77"/>
    <s v="Summit Retail 17"/>
    <s v="Subcontractors"/>
    <n v="256568.14"/>
    <b v="0"/>
    <b v="0"/>
    <n v="10279.09"/>
    <n v="275669.43"/>
    <n v="-19101.29"/>
    <b v="0"/>
  </r>
  <r>
    <x v="55"/>
    <s v="Wasatch Renovation 18"/>
    <s v="Permits &amp; Fees"/>
    <n v="36339"/>
    <b v="0"/>
    <b v="0"/>
    <n v="2601.48"/>
    <n v="36138.019999999997"/>
    <n v="200.98"/>
    <b v="0"/>
  </r>
  <r>
    <x v="84"/>
    <s v="Canyon Renovation 27"/>
    <s v="Other"/>
    <n v="52500.45"/>
    <b v="0"/>
    <b v="0"/>
    <n v="11463.04"/>
    <n v="41424.75"/>
    <n v="11075.7"/>
    <b v="0"/>
  </r>
  <r>
    <x v="12"/>
    <s v="Bonneville Office 34"/>
    <s v="Permits &amp; Fees"/>
    <n v="21496"/>
    <b v="0"/>
    <b v="0"/>
    <n v="0"/>
    <n v="23956.31"/>
    <n v="-2460.31"/>
    <b v="0"/>
  </r>
  <r>
    <x v="14"/>
    <s v="Granite Commons 39"/>
    <s v="Materials"/>
    <n v="145225"/>
    <b v="0"/>
    <b v="0"/>
    <n v="8517.2800000000007"/>
    <n v="146723.70000000001"/>
    <n v="-1498.7"/>
    <b v="0"/>
  </r>
  <r>
    <x v="46"/>
    <s v="Granite Lodge 46"/>
    <s v="Subcontractors"/>
    <n v="313707.61"/>
    <b v="0"/>
    <b v="0"/>
    <n v="53143.199999999997"/>
    <n v="269140.65000000002"/>
    <n v="44566.96"/>
    <b v="0"/>
  </r>
  <r>
    <x v="17"/>
    <s v="Canyon Medical 66"/>
    <s v="Equipment"/>
    <n v="23710.560000000001"/>
    <b v="0"/>
    <b v="0"/>
    <n v="0"/>
    <n v="23554.880000000001"/>
    <n v="155.68"/>
    <b v="0"/>
  </r>
  <r>
    <x v="72"/>
    <s v="Granite Commons 70"/>
    <s v="Other"/>
    <n v="24919.51"/>
    <b v="0"/>
    <b v="0"/>
    <n v="0"/>
    <n v="23979.4"/>
    <n v="940.11"/>
    <b v="0"/>
  </r>
  <r>
    <x v="49"/>
    <s v="Granite Lodge 75"/>
    <s v="Equipment"/>
    <n v="104330"/>
    <b v="0"/>
    <b v="0"/>
    <n v="0"/>
    <n v="97861.34"/>
    <n v="6468.66"/>
    <b v="0"/>
  </r>
  <r>
    <x v="8"/>
    <s v="Canyon Residences 77"/>
    <s v="Materials"/>
    <n v="213854.68"/>
    <b v="0"/>
    <b v="0"/>
    <n v="22844.81"/>
    <n v="165000.57"/>
    <n v="48854.11"/>
    <b v="0"/>
  </r>
  <r>
    <x v="50"/>
    <s v="Aspen Lodge 80"/>
    <s v="Other"/>
    <n v="13098"/>
    <b v="0"/>
    <b v="0"/>
    <n v="2295.9"/>
    <n v="7521.07"/>
    <n v="5576.93"/>
    <b v="0"/>
  </r>
  <r>
    <x v="95"/>
    <s v="Wasatch Retail 82"/>
    <s v="General Conditions"/>
    <n v="106933.96"/>
    <b v="0"/>
    <b v="0"/>
    <n v="8847.31"/>
    <n v="94270.75"/>
    <n v="12663.21"/>
    <b v="0"/>
  </r>
  <r>
    <x v="9"/>
    <s v="Wasatch Renovation 83"/>
    <s v="Equipment"/>
    <n v="55750"/>
    <b v="0"/>
    <b v="0"/>
    <n v="5050.1899999999996"/>
    <n v="51928.55"/>
    <n v="3821.45"/>
    <b v="0"/>
  </r>
  <r>
    <x v="88"/>
    <s v="Summit Residences 85"/>
    <s v="Other"/>
    <n v="26877.95"/>
    <b v="0"/>
    <b v="0"/>
    <n v="0"/>
    <n v="25668.28"/>
    <n v="1209.67"/>
    <b v="0"/>
  </r>
  <r>
    <x v="27"/>
    <s v="Copper Office 87"/>
    <s v="Materials"/>
    <n v="679699.04"/>
    <b v="0"/>
    <b v="0"/>
    <n v="23716.07"/>
    <n v="295577.51"/>
    <n v="384121.53"/>
    <b v="0"/>
  </r>
  <r>
    <x v="20"/>
    <s v="Granite Medical 91"/>
    <s v="Equipment"/>
    <n v="90419.25"/>
    <b v="0"/>
    <b v="0"/>
    <n v="11637.21"/>
    <n v="65616.98"/>
    <n v="24802.27"/>
    <b v="0"/>
  </r>
  <r>
    <x v="20"/>
    <s v="Granite Medical 91"/>
    <s v="General Conditions"/>
    <n v="144880.42000000001"/>
    <b v="0"/>
    <b v="0"/>
    <n v="7457.96"/>
    <n v="129251.81"/>
    <n v="15628.61"/>
    <b v="0"/>
  </r>
  <r>
    <x v="10"/>
    <s v="Summit Lodge 95"/>
    <s v="Permits &amp; Fees"/>
    <n v="21200"/>
    <b v="0"/>
    <b v="0"/>
    <n v="1746.98"/>
    <n v="15642.22"/>
    <n v="5557.78"/>
    <b v="0"/>
  </r>
  <r>
    <x v="67"/>
    <s v="Granite Center 96"/>
    <s v="Equipment"/>
    <n v="88284"/>
    <b v="0"/>
    <b v="0"/>
    <n v="0"/>
    <n v="26818.79"/>
    <n v="61465.21"/>
    <b v="0"/>
  </r>
  <r>
    <x v="67"/>
    <s v="Granite Center 96"/>
    <s v="General Conditions"/>
    <n v="154497"/>
    <b v="0"/>
    <b v="0"/>
    <n v="0"/>
    <n v="48328.33"/>
    <n v="106168.67"/>
    <b v="0"/>
  </r>
  <r>
    <x v="34"/>
    <s v="Granite Lodge 47"/>
    <s v="General Conditions"/>
    <n v="158298"/>
    <b v="0"/>
    <b v="0"/>
    <n v="24251.47"/>
    <n v="128851.88"/>
    <n v="29446.12"/>
    <b v="0"/>
  </r>
  <r>
    <x v="53"/>
    <s v="Granite Lodge 50"/>
    <s v="Other"/>
    <n v="32249.09"/>
    <b v="0"/>
    <b v="0"/>
    <n v="3616.54"/>
    <n v="28424.04"/>
    <n v="3825.05"/>
    <b v="0"/>
  </r>
  <r>
    <x v="35"/>
    <s v="Granite Office 54"/>
    <s v="Other"/>
    <n v="12449.41"/>
    <b v="0"/>
    <b v="0"/>
    <n v="1043.0999999999999"/>
    <n v="9979.39"/>
    <n v="2470.02"/>
    <b v="0"/>
  </r>
  <r>
    <x v="17"/>
    <s v="Canyon Medical 66"/>
    <s v="General Conditions"/>
    <n v="53113.93"/>
    <b v="0"/>
    <b v="0"/>
    <n v="3940.76"/>
    <n v="46627.39"/>
    <n v="6486.54"/>
    <b v="0"/>
  </r>
  <r>
    <x v="39"/>
    <s v="Wasatch Office 71"/>
    <s v="Other"/>
    <n v="13176.47"/>
    <b v="0"/>
    <b v="0"/>
    <n v="340.57"/>
    <n v="13085.94"/>
    <n v="90.53"/>
    <b v="0"/>
  </r>
  <r>
    <x v="49"/>
    <s v="Granite Lodge 75"/>
    <s v="General Conditions"/>
    <n v="146062"/>
    <b v="0"/>
    <b v="0"/>
    <n v="2372.44"/>
    <n v="150297.35999999999"/>
    <n v="-4235.3599999999997"/>
    <b v="0"/>
  </r>
  <r>
    <x v="95"/>
    <s v="Wasatch Retail 82"/>
    <s v="Equipment"/>
    <n v="61193.37"/>
    <b v="0"/>
    <b v="0"/>
    <n v="3552.79"/>
    <n v="55555.68"/>
    <n v="5637.69"/>
    <b v="0"/>
  </r>
  <r>
    <x v="9"/>
    <s v="Wasatch Renovation 83"/>
    <s v="General Conditions"/>
    <n v="89200"/>
    <b v="0"/>
    <b v="0"/>
    <n v="15297.33"/>
    <n v="80295.679999999993"/>
    <n v="8904.32"/>
    <b v="0"/>
  </r>
  <r>
    <x v="36"/>
    <s v="Canyon Retail 12"/>
    <s v="Materials"/>
    <n v="323268.62"/>
    <b v="0"/>
    <b v="0"/>
    <n v="49545.58"/>
    <n v="317870.19"/>
    <n v="5398.43"/>
    <b v="0"/>
  </r>
  <r>
    <x v="64"/>
    <s v="Wasatch Medical 37"/>
    <s v="Other"/>
    <n v="29711.51"/>
    <b v="0"/>
    <b v="0"/>
    <n v="3550.53"/>
    <n v="28465.59"/>
    <n v="1245.92"/>
    <b v="0"/>
  </r>
  <r>
    <x v="63"/>
    <s v="Granite Center 30"/>
    <s v="Materials"/>
    <n v="586080.43999999994"/>
    <b v="0"/>
    <b v="0"/>
    <n v="96621.19"/>
    <n v="527197.82999999996"/>
    <n v="58882.61"/>
    <b v="0"/>
  </r>
  <r>
    <x v="34"/>
    <s v="Granite Lodge 47"/>
    <s v="Equipment"/>
    <n v="90456"/>
    <b v="0"/>
    <b v="0"/>
    <n v="23760.39"/>
    <n v="62560.03"/>
    <n v="27895.97"/>
    <b v="0"/>
  </r>
  <r>
    <x v="0"/>
    <s v="Juniper Retail 01"/>
    <s v="Equipment"/>
    <n v="46016.92"/>
    <b v="0"/>
    <b v="0"/>
    <n v="2081.75"/>
    <n v="42535.85"/>
    <n v="3481.07"/>
    <b v="0"/>
  </r>
  <r>
    <x v="0"/>
    <s v="Juniper Retail 01"/>
    <s v="General Conditions"/>
    <n v="80484.53"/>
    <b v="0"/>
    <b v="0"/>
    <n v="6100.52"/>
    <n v="80825.350000000006"/>
    <n v="-340.82"/>
    <b v="0"/>
  </r>
  <r>
    <x v="2"/>
    <s v="Granite Commons 06"/>
    <s v="Materials"/>
    <n v="308568"/>
    <b v="0"/>
    <b v="0"/>
    <n v="13877.97"/>
    <n v="300759.8"/>
    <n v="7808.2"/>
    <b v="0"/>
  </r>
  <r>
    <x v="36"/>
    <s v="Canyon Retail 12"/>
    <s v="Permits &amp; Fees"/>
    <n v="63673.29"/>
    <b v="0"/>
    <b v="0"/>
    <n v="323.8"/>
    <n v="65610.81"/>
    <n v="-1937.52"/>
    <b v="0"/>
  </r>
  <r>
    <x v="61"/>
    <s v="Bonneville Lodge 14"/>
    <s v="Other"/>
    <n v="48764"/>
    <b v="0"/>
    <b v="0"/>
    <n v="7474.08"/>
    <n v="46205.63"/>
    <n v="2558.37"/>
    <b v="0"/>
  </r>
  <r>
    <x v="77"/>
    <s v="Summit Retail 17"/>
    <s v="Other"/>
    <n v="37193.870000000003"/>
    <b v="0"/>
    <b v="0"/>
    <n v="4856.53"/>
    <n v="36027.760000000002"/>
    <n v="1166.1099999999999"/>
    <b v="0"/>
  </r>
  <r>
    <x v="83"/>
    <s v="Wasatch Center 19"/>
    <s v="Equipment"/>
    <n v="16666.22"/>
    <b v="0"/>
    <b v="0"/>
    <n v="924.39"/>
    <n v="16233.86"/>
    <n v="432.36"/>
    <b v="0"/>
  </r>
  <r>
    <x v="83"/>
    <s v="Wasatch Center 19"/>
    <s v="General Conditions"/>
    <n v="29093.03"/>
    <b v="0"/>
    <b v="0"/>
    <n v="4707.92"/>
    <n v="28550.74"/>
    <n v="542.29"/>
    <b v="0"/>
  </r>
  <r>
    <x v="56"/>
    <s v="Aspen Medical 25"/>
    <s v="Equipment"/>
    <n v="112286.39999999999"/>
    <b v="0"/>
    <b v="0"/>
    <n v="18369.5"/>
    <n v="97000.67"/>
    <n v="15285.73"/>
    <b v="0"/>
  </r>
  <r>
    <x v="56"/>
    <s v="Aspen Medical 25"/>
    <s v="General Conditions"/>
    <n v="157673.32999999999"/>
    <b v="0"/>
    <b v="0"/>
    <n v="18530.650000000001"/>
    <n v="153410.19"/>
    <n v="4263.1400000000003"/>
    <b v="0"/>
  </r>
  <r>
    <x v="63"/>
    <s v="Granite Center 30"/>
    <s v="Permits &amp; Fees"/>
    <n v="51670.03"/>
    <b v="0"/>
    <b v="0"/>
    <n v="0"/>
    <n v="54073.24"/>
    <n v="-2403.21"/>
    <b v="0"/>
  </r>
  <r>
    <x v="14"/>
    <s v="Granite Commons 39"/>
    <s v="Permits &amp; Fees"/>
    <n v="23236"/>
    <b v="0"/>
    <b v="0"/>
    <n v="2657.67"/>
    <n v="22239.78"/>
    <n v="996.22"/>
    <b v="0"/>
  </r>
  <r>
    <x v="46"/>
    <s v="Granite Lodge 46"/>
    <s v="Other"/>
    <n v="29635.68"/>
    <b v="0"/>
    <b v="0"/>
    <n v="2550.7600000000002"/>
    <n v="27236.99"/>
    <n v="2398.69"/>
    <b v="0"/>
  </r>
  <r>
    <x v="53"/>
    <s v="Granite Lodge 50"/>
    <s v="Subcontractors"/>
    <n v="301937.83"/>
    <b v="0"/>
    <b v="0"/>
    <n v="40609.42"/>
    <n v="281852.59000000003"/>
    <n v="20085.240000000002"/>
    <b v="0"/>
  </r>
  <r>
    <x v="35"/>
    <s v="Granite Office 54"/>
    <s v="Subcontractors"/>
    <n v="84058.25"/>
    <b v="0"/>
    <b v="0"/>
    <n v="0"/>
    <n v="78497.81"/>
    <n v="5560.44"/>
    <b v="0"/>
  </r>
  <r>
    <x v="80"/>
    <s v="Aspen Residences 59"/>
    <s v="Equipment"/>
    <n v="20820"/>
    <b v="0"/>
    <b v="0"/>
    <n v="4727.83"/>
    <n v="18345.8"/>
    <n v="2474.1999999999998"/>
    <b v="0"/>
  </r>
  <r>
    <x v="80"/>
    <s v="Aspen Residences 59"/>
    <s v="General Conditions"/>
    <n v="46845"/>
    <b v="0"/>
    <b v="0"/>
    <n v="0"/>
    <n v="51375.19"/>
    <n v="-4530.1899999999996"/>
    <b v="0"/>
  </r>
  <r>
    <x v="72"/>
    <s v="Granite Commons 70"/>
    <s v="Subcontractors"/>
    <n v="384613.33"/>
    <b v="0"/>
    <b v="0"/>
    <n v="0"/>
    <n v="418100.02"/>
    <n v="-33486.69"/>
    <b v="0"/>
  </r>
  <r>
    <x v="39"/>
    <s v="Wasatch Office 71"/>
    <s v="Subcontractors"/>
    <n v="203362.22"/>
    <b v="0"/>
    <b v="0"/>
    <n v="6718.61"/>
    <n v="206163.44"/>
    <n v="-2801.22"/>
    <b v="0"/>
  </r>
  <r>
    <x v="8"/>
    <s v="Canyon Residences 77"/>
    <s v="Permits &amp; Fees"/>
    <n v="36230.92"/>
    <b v="0"/>
    <b v="0"/>
    <n v="5437.53"/>
    <n v="26845.54"/>
    <n v="9385.3799999999992"/>
    <b v="0"/>
  </r>
  <r>
    <x v="10"/>
    <s v="Summit Lodge 95"/>
    <s v="Materials"/>
    <n v="132500"/>
    <b v="0"/>
    <b v="0"/>
    <n v="0"/>
    <n v="109063.37"/>
    <n v="23436.63"/>
    <b v="0"/>
  </r>
  <r>
    <x v="11"/>
    <s v="Summit Center 03"/>
    <s v="Subcontractors"/>
    <n v="465587.98"/>
    <b v="0"/>
    <b v="0"/>
    <n v="26507.74"/>
    <n v="424211.79"/>
    <n v="41376.19"/>
    <b v="0"/>
  </r>
  <r>
    <x v="55"/>
    <s v="Wasatch Renovation 18"/>
    <s v="Materials"/>
    <n v="351277"/>
    <b v="0"/>
    <b v="0"/>
    <n v="58598.43"/>
    <n v="340653.65"/>
    <n v="10623.35"/>
    <b v="0"/>
  </r>
  <r>
    <x v="84"/>
    <s v="Canyon Renovation 27"/>
    <s v="Subcontractors"/>
    <n v="545536.62"/>
    <b v="0"/>
    <b v="0"/>
    <n v="48134.94"/>
    <n v="550639.72"/>
    <n v="-5103.1000000000004"/>
    <b v="0"/>
  </r>
  <r>
    <x v="12"/>
    <s v="Bonneville Office 34"/>
    <s v="Materials"/>
    <n v="128976"/>
    <b v="0"/>
    <b v="0"/>
    <n v="29704.13"/>
    <n v="107859.85"/>
    <n v="21116.15"/>
    <b v="0"/>
  </r>
  <r>
    <x v="64"/>
    <s v="Wasatch Medical 37"/>
    <s v="Subcontractors"/>
    <n v="307825.11"/>
    <b v="0"/>
    <b v="0"/>
    <n v="64768.61"/>
    <n v="272186.48"/>
    <n v="35638.629999999997"/>
    <b v="0"/>
  </r>
  <r>
    <x v="13"/>
    <s v="Canyon Renovation 38"/>
    <s v="Equipment"/>
    <n v="25561.51"/>
    <b v="0"/>
    <b v="0"/>
    <n v="4199.1000000000004"/>
    <n v="22356.71"/>
    <n v="3204.8"/>
    <b v="0"/>
  </r>
  <r>
    <x v="13"/>
    <s v="Canyon Renovation 38"/>
    <s v="General Conditions"/>
    <n v="57260.51"/>
    <b v="0"/>
    <b v="0"/>
    <n v="1523.47"/>
    <n v="63044.65"/>
    <n v="-5784.14"/>
    <b v="0"/>
  </r>
  <r>
    <x v="16"/>
    <s v="Summit Office 63"/>
    <s v="General Conditions"/>
    <n v="96790.61"/>
    <b v="0"/>
    <b v="0"/>
    <n v="12232.7"/>
    <n v="97591.54"/>
    <n v="-800.93"/>
    <b v="0"/>
  </r>
  <r>
    <x v="50"/>
    <s v="Aspen Lodge 80"/>
    <s v="Subcontractors"/>
    <n v="122248"/>
    <b v="0"/>
    <b v="0"/>
    <n v="6120.34"/>
    <n v="93722.5"/>
    <n v="28525.5"/>
    <b v="0"/>
  </r>
  <r>
    <x v="88"/>
    <s v="Summit Residences 85"/>
    <s v="Subcontractors"/>
    <n v="243066.81"/>
    <b v="0"/>
    <b v="0"/>
    <n v="27307.21"/>
    <n v="192487.09"/>
    <n v="50579.72"/>
    <b v="0"/>
  </r>
  <r>
    <x v="27"/>
    <s v="Copper Office 87"/>
    <s v="Permits &amp; Fees"/>
    <n v="70006.25"/>
    <b v="0"/>
    <b v="0"/>
    <n v="4533.93"/>
    <n v="27890.75"/>
    <n v="42115.5"/>
    <b v="0"/>
  </r>
  <r>
    <x v="16"/>
    <s v="Summit Office 63"/>
    <s v="Equipment"/>
    <n v="43102.76"/>
    <b v="0"/>
    <b v="0"/>
    <n v="4066.1"/>
    <n v="40631.050000000003"/>
    <n v="2471.71"/>
    <b v="0"/>
  </r>
  <r>
    <x v="5"/>
    <s v="Wasatch Lodge 16"/>
    <s v="Other"/>
    <n v="13586.52"/>
    <b v="0"/>
    <b v="0"/>
    <n v="2219.5500000000002"/>
    <n v="12869.9"/>
    <n v="716.62"/>
    <b v="0"/>
  </r>
  <r>
    <x v="91"/>
    <s v="Copper Center 21"/>
    <s v="Materials"/>
    <n v="663513.56000000006"/>
    <b v="0"/>
    <b v="0"/>
    <n v="189201.43"/>
    <n v="564301.71"/>
    <n v="99211.85"/>
    <b v="0"/>
  </r>
  <r>
    <x v="7"/>
    <s v="Granite Commons 26"/>
    <s v="Other"/>
    <n v="89576.08"/>
    <b v="0"/>
    <b v="0"/>
    <n v="0"/>
    <n v="85307.05"/>
    <n v="4269.03"/>
    <b v="0"/>
  </r>
  <r>
    <x v="29"/>
    <s v="Copper Center 29"/>
    <s v="Other"/>
    <n v="16947.64"/>
    <b v="0"/>
    <b v="0"/>
    <n v="1730.5"/>
    <n v="14513.98"/>
    <n v="2433.66"/>
    <b v="0"/>
  </r>
  <r>
    <x v="6"/>
    <s v="Bonneville Retail 33"/>
    <s v="Other"/>
    <n v="25515"/>
    <b v="0"/>
    <b v="0"/>
    <n v="1858.78"/>
    <n v="25420.05"/>
    <n v="94.95"/>
    <b v="0"/>
  </r>
  <r>
    <x v="92"/>
    <s v="Bonneville Commons 36"/>
    <s v="Equipment"/>
    <n v="106390"/>
    <b v="0"/>
    <b v="0"/>
    <n v="9462.23"/>
    <n v="94887.39"/>
    <n v="11502.61"/>
    <b v="0"/>
  </r>
  <r>
    <x v="92"/>
    <s v="Bonneville Commons 36"/>
    <s v="General Conditions"/>
    <n v="170224"/>
    <b v="0"/>
    <b v="0"/>
    <n v="23835.55"/>
    <n v="146184.35999999999"/>
    <n v="24039.64"/>
    <b v="0"/>
  </r>
  <r>
    <x v="52"/>
    <s v="Canyon Office 41"/>
    <s v="Other"/>
    <n v="29968.68"/>
    <b v="0"/>
    <b v="0"/>
    <n v="8238.2800000000007"/>
    <n v="18296.240000000002"/>
    <n v="11672.44"/>
    <b v="0"/>
  </r>
  <r>
    <x v="23"/>
    <s v="Wasatch Commons 49"/>
    <s v="Other"/>
    <n v="31527.15"/>
    <b v="0"/>
    <b v="0"/>
    <n v="0"/>
    <n v="31545.75"/>
    <n v="-18.600000000000001"/>
    <b v="0"/>
  </r>
  <r>
    <x v="87"/>
    <s v="Wasatch Center 53"/>
    <s v="Equipment"/>
    <n v="77329.48"/>
    <b v="0"/>
    <b v="0"/>
    <n v="12339.49"/>
    <n v="64897.56"/>
    <n v="12431.92"/>
    <b v="0"/>
  </r>
  <r>
    <x v="87"/>
    <s v="Wasatch Center 53"/>
    <s v="General Conditions"/>
    <n v="123632.14"/>
    <b v="0"/>
    <b v="0"/>
    <n v="15100.43"/>
    <n v="110402.66"/>
    <n v="13229.48"/>
    <b v="0"/>
  </r>
  <r>
    <x v="93"/>
    <s v="Granite Residences 62"/>
    <s v="Materials"/>
    <n v="707829"/>
    <b v="0"/>
    <b v="0"/>
    <n v="33385.15"/>
    <n v="785779.44"/>
    <n v="-77950.44"/>
    <b v="0"/>
  </r>
  <r>
    <x v="59"/>
    <s v="Juniper Commons 64"/>
    <s v="Equipment"/>
    <n v="67439.149999999994"/>
    <b v="0"/>
    <b v="0"/>
    <n v="5417"/>
    <n v="61789.87"/>
    <n v="5649.28"/>
    <b v="0"/>
  </r>
  <r>
    <x v="65"/>
    <s v="Copper Office 67"/>
    <s v="Subcontractors"/>
    <n v="183312.98"/>
    <b v="0"/>
    <b v="0"/>
    <n v="35940.22"/>
    <n v="147539.47"/>
    <n v="35773.51"/>
    <b v="0"/>
  </r>
  <r>
    <x v="73"/>
    <s v="Aspen Office 72"/>
    <s v="Subcontractors"/>
    <n v="317623.34000000003"/>
    <b v="0"/>
    <b v="0"/>
    <n v="20249.37"/>
    <n v="337621.22"/>
    <n v="-19997.88"/>
    <b v="0"/>
  </r>
  <r>
    <x v="74"/>
    <s v="Canyon Commons 73"/>
    <s v="Subcontractors"/>
    <n v="509301"/>
    <b v="0"/>
    <b v="0"/>
    <n v="0"/>
    <n v="544952.73"/>
    <n v="-35651.730000000003"/>
    <b v="0"/>
  </r>
  <r>
    <x v="18"/>
    <s v="Granite Center 76"/>
    <s v="Equipment"/>
    <n v="53821.22"/>
    <b v="0"/>
    <b v="0"/>
    <n v="8452.3799999999992"/>
    <n v="40802.300000000003"/>
    <n v="13018.92"/>
    <b v="0"/>
  </r>
  <r>
    <x v="18"/>
    <s v="Granite Center 76"/>
    <s v="General Conditions"/>
    <n v="86219.03"/>
    <b v="0"/>
    <b v="0"/>
    <n v="2176.4699999999998"/>
    <n v="74979.83"/>
    <n v="11239.2"/>
    <b v="0"/>
  </r>
  <r>
    <x v="60"/>
    <s v="Copper Retail 92"/>
    <s v="Subcontractors"/>
    <n v="252303.91"/>
    <b v="0"/>
    <b v="0"/>
    <n v="4169.03"/>
    <n v="236518.91"/>
    <n v="15785"/>
    <b v="0"/>
  </r>
  <r>
    <x v="21"/>
    <s v="Granite Office 93"/>
    <s v="Permits &amp; Fees"/>
    <n v="73737"/>
    <b v="0"/>
    <b v="0"/>
    <n v="0"/>
    <n v="51547.42"/>
    <n v="22189.58"/>
    <b v="0"/>
  </r>
  <r>
    <x v="51"/>
    <s v="Copper Commons 94"/>
    <s v="Permits &amp; Fees"/>
    <n v="108258.62"/>
    <b v="0"/>
    <b v="0"/>
    <n v="4949.72"/>
    <n v="49809.26"/>
    <n v="58449.36"/>
    <b v="0"/>
  </r>
  <r>
    <x v="41"/>
    <s v="Wasatch Renovation 07"/>
    <s v="Subcontractors"/>
    <n v="665265.48"/>
    <b v="0"/>
    <b v="0"/>
    <n v="40240.400000000001"/>
    <n v="688745.63"/>
    <n v="-23480.15"/>
    <b v="0"/>
  </r>
  <r>
    <x v="62"/>
    <s v="Juniper Residences 15"/>
    <s v="Materials"/>
    <n v="271423.90999999997"/>
    <b v="0"/>
    <b v="0"/>
    <n v="60855.1"/>
    <n v="227449.49"/>
    <n v="43974.42"/>
    <b v="0"/>
  </r>
  <r>
    <x v="43"/>
    <s v="Wasatch Commons 20"/>
    <s v="Materials"/>
    <n v="242420.46"/>
    <b v="0"/>
    <b v="0"/>
    <n v="36711.33"/>
    <n v="210077.99"/>
    <n v="32342.47"/>
    <b v="0"/>
  </r>
  <r>
    <x v="32"/>
    <s v="Summit Lodge 31"/>
    <s v="Other"/>
    <n v="15930"/>
    <b v="0"/>
    <b v="0"/>
    <n v="0"/>
    <n v="15883.45"/>
    <n v="46.55"/>
    <b v="0"/>
  </r>
  <r>
    <x v="37"/>
    <s v="Aspen Office 35"/>
    <s v="Materials"/>
    <n v="250056"/>
    <b v="0"/>
    <b v="0"/>
    <n v="41671.57"/>
    <n v="226838.29"/>
    <n v="23217.71"/>
    <b v="0"/>
  </r>
  <r>
    <x v="33"/>
    <s v="Copper Medical 44"/>
    <s v="Other"/>
    <n v="13812"/>
    <b v="0"/>
    <b v="0"/>
    <n v="0"/>
    <n v="14288.5"/>
    <n v="-476.5"/>
    <b v="0"/>
  </r>
  <r>
    <x v="30"/>
    <s v="Canyon Lodge 55"/>
    <s v="Permits &amp; Fees"/>
    <n v="50972"/>
    <b v="0"/>
    <b v="0"/>
    <n v="3990.12"/>
    <n v="51021.49"/>
    <n v="-49.49"/>
    <b v="0"/>
  </r>
  <r>
    <x v="59"/>
    <s v="Juniper Commons 64"/>
    <s v="General Conditions"/>
    <n v="107970.58"/>
    <b v="0"/>
    <b v="0"/>
    <n v="23156.09"/>
    <n v="83612.039999999994"/>
    <n v="24358.54"/>
    <b v="0"/>
  </r>
  <r>
    <x v="48"/>
    <s v="Aspen Lodge 65"/>
    <s v="Permits &amp; Fees"/>
    <n v="27144"/>
    <b v="0"/>
    <b v="0"/>
    <n v="3696.49"/>
    <n v="24937.15"/>
    <n v="2206.85"/>
    <b v="0"/>
  </r>
  <r>
    <x v="85"/>
    <s v="Juniper Residences 42"/>
    <s v="Permits &amp; Fees"/>
    <n v="81840.639999999999"/>
    <b v="0"/>
    <b v="0"/>
    <n v="0"/>
    <n v="85389.36"/>
    <n v="-3548.72"/>
    <b v="0"/>
  </r>
  <r>
    <x v="79"/>
    <s v="Juniper Commons 57"/>
    <s v="Subcontractors"/>
    <n v="221704"/>
    <b v="0"/>
    <b v="0"/>
    <n v="0"/>
    <n v="225221.85"/>
    <n v="-3517.85"/>
    <b v="0"/>
  </r>
  <r>
    <x v="41"/>
    <s v="Wasatch Renovation 07"/>
    <s v="Other"/>
    <n v="43310.04"/>
    <b v="0"/>
    <b v="0"/>
    <n v="3365.48"/>
    <n v="44979.64"/>
    <n v="-1669.6"/>
    <b v="0"/>
  </r>
  <r>
    <x v="62"/>
    <s v="Juniper Residences 15"/>
    <s v="Permits &amp; Fees"/>
    <n v="41794.81"/>
    <b v="0"/>
    <b v="0"/>
    <n v="0"/>
    <n v="45901.82"/>
    <n v="-4107.01"/>
    <b v="0"/>
  </r>
  <r>
    <x v="7"/>
    <s v="Granite Commons 26"/>
    <s v="Subcontractors"/>
    <n v="820490.49"/>
    <b v="0"/>
    <b v="0"/>
    <n v="55238.98"/>
    <n v="747150.17"/>
    <n v="73340.320000000007"/>
    <b v="0"/>
  </r>
  <r>
    <x v="44"/>
    <s v="Copper Office 28"/>
    <s v="Equipment"/>
    <n v="9318.57"/>
    <b v="0"/>
    <b v="0"/>
    <n v="515.29999999999995"/>
    <n v="9131.9500000000007"/>
    <n v="186.62"/>
    <b v="0"/>
  </r>
  <r>
    <x v="44"/>
    <s v="Copper Office 28"/>
    <s v="General Conditions"/>
    <n v="20748.28"/>
    <b v="0"/>
    <b v="0"/>
    <n v="2247.1999999999998"/>
    <n v="18304.560000000001"/>
    <n v="2443.7199999999998"/>
    <b v="0"/>
  </r>
  <r>
    <x v="29"/>
    <s v="Copper Center 29"/>
    <s v="Subcontractors"/>
    <n v="264269.09999999998"/>
    <b v="0"/>
    <b v="0"/>
    <n v="38794.69"/>
    <n v="232338.22"/>
    <n v="31930.880000000001"/>
    <b v="0"/>
  </r>
  <r>
    <x v="32"/>
    <s v="Summit Lodge 31"/>
    <s v="Subcontractors"/>
    <n v="164610"/>
    <b v="0"/>
    <b v="0"/>
    <n v="23517.41"/>
    <n v="157977.99"/>
    <n v="6632.01"/>
    <b v="0"/>
  </r>
  <r>
    <x v="6"/>
    <s v="Bonneville Retail 33"/>
    <s v="Subcontractors"/>
    <n v="238140"/>
    <b v="0"/>
    <b v="0"/>
    <n v="0"/>
    <n v="232077.93"/>
    <n v="6062.07"/>
    <b v="0"/>
  </r>
  <r>
    <x v="37"/>
    <s v="Aspen Office 35"/>
    <s v="Permits &amp; Fees"/>
    <n v="41676"/>
    <b v="0"/>
    <b v="0"/>
    <n v="746.47"/>
    <n v="41166.17"/>
    <n v="509.83"/>
    <b v="0"/>
  </r>
  <r>
    <x v="52"/>
    <s v="Canyon Office 41"/>
    <s v="Subcontractors"/>
    <n v="462561.19"/>
    <b v="0"/>
    <b v="0"/>
    <n v="41864.01"/>
    <n v="437965.7"/>
    <n v="24595.49"/>
    <b v="0"/>
  </r>
  <r>
    <x v="85"/>
    <s v="Juniper Residences 42"/>
    <s v="Materials"/>
    <n v="503890.31"/>
    <b v="0"/>
    <b v="0"/>
    <n v="28596.83"/>
    <n v="552811.92000000004"/>
    <n v="-48921.61"/>
    <b v="0"/>
  </r>
  <r>
    <x v="45"/>
    <s v="Granite Medical 43"/>
    <s v="Equipment"/>
    <n v="46094.36"/>
    <b v="0"/>
    <b v="0"/>
    <n v="0"/>
    <n v="46541.32"/>
    <n v="-446.96"/>
    <b v="0"/>
  </r>
  <r>
    <x v="45"/>
    <s v="Granite Medical 43"/>
    <s v="General Conditions"/>
    <n v="73786.27"/>
    <b v="0"/>
    <b v="0"/>
    <n v="0"/>
    <n v="79383.990000000005"/>
    <n v="-5597.72"/>
    <b v="0"/>
  </r>
  <r>
    <x v="23"/>
    <s v="Wasatch Commons 49"/>
    <s v="Subcontractors"/>
    <n v="323548.42"/>
    <b v="0"/>
    <b v="0"/>
    <n v="31859.71"/>
    <n v="325202.09999999998"/>
    <n v="-1653.68"/>
    <b v="0"/>
  </r>
  <r>
    <x v="54"/>
    <s v="Aspen Retail 51"/>
    <s v="Equipment"/>
    <n v="17128"/>
    <b v="0"/>
    <b v="0"/>
    <n v="0"/>
    <n v="17060.41"/>
    <n v="67.59"/>
    <b v="0"/>
  </r>
  <r>
    <x v="54"/>
    <s v="Aspen Retail 51"/>
    <s v="General Conditions"/>
    <n v="38538"/>
    <b v="0"/>
    <b v="0"/>
    <n v="0"/>
    <n v="40102.79"/>
    <n v="-1564.79"/>
    <b v="0"/>
  </r>
  <r>
    <x v="30"/>
    <s v="Canyon Lodge 55"/>
    <s v="Materials"/>
    <n v="305832"/>
    <b v="0"/>
    <b v="0"/>
    <n v="0"/>
    <n v="343817.66"/>
    <n v="-37985.660000000003"/>
    <b v="0"/>
  </r>
  <r>
    <x v="47"/>
    <s v="Wasatch Office 56"/>
    <s v="General Conditions"/>
    <n v="31842.560000000001"/>
    <b v="0"/>
    <b v="0"/>
    <n v="6031.41"/>
    <n v="23806.79"/>
    <n v="8035.77"/>
    <b v="0"/>
  </r>
  <r>
    <x v="79"/>
    <s v="Juniper Commons 57"/>
    <s v="Other"/>
    <n v="23754"/>
    <b v="0"/>
    <b v="0"/>
    <n v="1212.19"/>
    <n v="22085.57"/>
    <n v="1668.43"/>
    <b v="0"/>
  </r>
  <r>
    <x v="93"/>
    <s v="Granite Residences 62"/>
    <s v="Permits &amp; Fees"/>
    <n v="138478.81"/>
    <b v="0"/>
    <b v="0"/>
    <n v="8545.1299999999992"/>
    <n v="154137.57"/>
    <n v="-15658.76"/>
    <b v="0"/>
  </r>
  <r>
    <x v="66"/>
    <s v="Bonneville Retail 69"/>
    <s v="Equipment"/>
    <n v="34658.32"/>
    <b v="0"/>
    <b v="0"/>
    <n v="820.52"/>
    <n v="35943.21"/>
    <n v="-1284.8900000000001"/>
    <b v="0"/>
  </r>
  <r>
    <x v="73"/>
    <s v="Aspen Office 72"/>
    <s v="Other"/>
    <n v="20855.95"/>
    <b v="0"/>
    <b v="0"/>
    <n v="2301.0300000000002"/>
    <n v="18142.150000000001"/>
    <n v="2713.8"/>
    <b v="0"/>
  </r>
  <r>
    <x v="60"/>
    <s v="Copper Retail 92"/>
    <s v="Other"/>
    <n v="24326.560000000001"/>
    <b v="0"/>
    <b v="0"/>
    <n v="1831.67"/>
    <n v="19099.169999999998"/>
    <n v="5227.3900000000003"/>
    <b v="0"/>
  </r>
  <r>
    <x v="51"/>
    <s v="Copper Commons 94"/>
    <s v="Materials"/>
    <n v="533977.98"/>
    <b v="0"/>
    <b v="0"/>
    <n v="0"/>
    <n v="277083.34999999998"/>
    <n v="256894.63"/>
    <b v="0"/>
  </r>
  <r>
    <x v="5"/>
    <s v="Wasatch Lodge 16"/>
    <s v="Subcontractors"/>
    <n v="141399.6"/>
    <b v="0"/>
    <b v="0"/>
    <n v="14614.96"/>
    <n v="139662.72"/>
    <n v="1736.88"/>
    <b v="0"/>
  </r>
  <r>
    <x v="43"/>
    <s v="Wasatch Commons 20"/>
    <s v="Permits &amp; Fees"/>
    <n v="21900.28"/>
    <b v="0"/>
    <b v="0"/>
    <n v="461.8"/>
    <n v="21513.040000000001"/>
    <n v="387.24"/>
    <b v="0"/>
  </r>
  <r>
    <x v="91"/>
    <s v="Copper Center 21"/>
    <s v="Permits &amp; Fees"/>
    <n v="59570.6"/>
    <b v="0"/>
    <b v="0"/>
    <n v="10074.370000000001"/>
    <n v="52652.49"/>
    <n v="6918.11"/>
    <b v="0"/>
  </r>
  <r>
    <x v="33"/>
    <s v="Copper Medical 44"/>
    <s v="Subcontractors"/>
    <n v="128912"/>
    <b v="0"/>
    <b v="0"/>
    <n v="8296.68"/>
    <n v="128464.46"/>
    <n v="447.54"/>
    <b v="0"/>
  </r>
  <r>
    <x v="47"/>
    <s v="Wasatch Office 56"/>
    <s v="Equipment"/>
    <n v="14243.34"/>
    <b v="0"/>
    <b v="0"/>
    <n v="878.48"/>
    <n v="12785.66"/>
    <n v="1457.68"/>
    <b v="0"/>
  </r>
  <r>
    <x v="81"/>
    <s v="Canyon Retail 60"/>
    <s v="General Conditions"/>
    <n v="96862.42"/>
    <b v="0"/>
    <b v="0"/>
    <n v="2610.8000000000002"/>
    <n v="93392.09"/>
    <n v="3470.33"/>
    <b v="0"/>
  </r>
  <r>
    <x v="48"/>
    <s v="Aspen Lodge 65"/>
    <s v="Materials"/>
    <n v="162864"/>
    <b v="0"/>
    <b v="0"/>
    <n v="7911.78"/>
    <n v="162401.98000000001"/>
    <n v="462.02"/>
    <b v="0"/>
  </r>
  <r>
    <x v="65"/>
    <s v="Copper Office 67"/>
    <s v="Other"/>
    <n v="17629.25"/>
    <b v="0"/>
    <b v="0"/>
    <n v="1002.59"/>
    <n v="15807.95"/>
    <n v="1821.3"/>
    <b v="0"/>
  </r>
  <r>
    <x v="66"/>
    <s v="Bonneville Retail 69"/>
    <s v="General Conditions"/>
    <n v="55392.54"/>
    <b v="0"/>
    <b v="0"/>
    <n v="3470.37"/>
    <n v="55820.47"/>
    <n v="-427.93"/>
    <b v="0"/>
  </r>
  <r>
    <x v="74"/>
    <s v="Canyon Commons 73"/>
    <s v="Other"/>
    <n v="56589"/>
    <b v="0"/>
    <b v="0"/>
    <n v="367.97"/>
    <n v="64404.93"/>
    <n v="-7815.93"/>
    <b v="0"/>
  </r>
  <r>
    <x v="21"/>
    <s v="Granite Office 93"/>
    <s v="Materials"/>
    <n v="712791"/>
    <b v="0"/>
    <b v="0"/>
    <n v="48861.7"/>
    <n v="517322.37"/>
    <n v="195468.63"/>
    <b v="0"/>
  </r>
  <r>
    <x v="81"/>
    <s v="Canyon Retail 60"/>
    <s v="Equipment"/>
    <n v="68913.45"/>
    <b v="0"/>
    <b v="0"/>
    <n v="5038.63"/>
    <n v="63984.82"/>
    <n v="4928.63"/>
    <b v="0"/>
  </r>
  <r>
    <x v="76"/>
    <s v="Summit Residences 05"/>
    <s v="Equipment"/>
    <n v="97204.03"/>
    <b v="0"/>
    <b v="0"/>
    <n v="2360.0500000000002"/>
    <n v="98663.05"/>
    <n v="-1459.02"/>
    <b v="0"/>
  </r>
  <r>
    <x v="76"/>
    <s v="Summit Residences 05"/>
    <s v="General Conditions"/>
    <n v="169660.71"/>
    <b v="0"/>
    <b v="0"/>
    <n v="31821.09"/>
    <n v="160850.26999999999"/>
    <n v="8810.44"/>
    <b v="0"/>
  </r>
  <r>
    <x v="5"/>
    <s v="Wasatch Lodge 16"/>
    <s v="Materials"/>
    <n v="111232.41"/>
    <b v="0"/>
    <b v="0"/>
    <n v="10636.72"/>
    <n v="114441.48"/>
    <n v="-3209.07"/>
    <b v="0"/>
  </r>
  <r>
    <x v="43"/>
    <s v="Wasatch Commons 20"/>
    <s v="Other"/>
    <n v="21900.27"/>
    <b v="0"/>
    <b v="0"/>
    <n v="4666.45"/>
    <n v="16144.45"/>
    <n v="5755.82"/>
    <b v="0"/>
  </r>
  <r>
    <x v="91"/>
    <s v="Copper Center 21"/>
    <s v="Other"/>
    <n v="59570.59"/>
    <b v="0"/>
    <b v="0"/>
    <n v="10966.57"/>
    <n v="46538.42"/>
    <n v="13032.17"/>
    <b v="0"/>
  </r>
  <r>
    <x v="7"/>
    <s v="Granite Commons 26"/>
    <s v="Materials"/>
    <n v="886036.18"/>
    <b v="0"/>
    <b v="0"/>
    <n v="159179.62"/>
    <n v="770936.61"/>
    <n v="115099.57"/>
    <b v="0"/>
  </r>
  <r>
    <x v="32"/>
    <s v="Summit Lodge 31"/>
    <s v="Materials"/>
    <n v="127440"/>
    <b v="0"/>
    <b v="0"/>
    <n v="11193.79"/>
    <n v="127665.76"/>
    <n v="-225.76"/>
    <b v="0"/>
  </r>
  <r>
    <x v="6"/>
    <s v="Bonneville Retail 33"/>
    <s v="Materials"/>
    <n v="212625"/>
    <b v="0"/>
    <b v="0"/>
    <n v="0"/>
    <n v="223127.49"/>
    <n v="-10502.49"/>
    <b v="0"/>
  </r>
  <r>
    <x v="37"/>
    <s v="Aspen Office 35"/>
    <s v="Other"/>
    <n v="31257"/>
    <b v="0"/>
    <b v="0"/>
    <n v="718.89"/>
    <n v="29174.94"/>
    <n v="2082.06"/>
    <b v="0"/>
  </r>
  <r>
    <x v="52"/>
    <s v="Canyon Office 41"/>
    <s v="Materials"/>
    <n v="421514.89"/>
    <b v="0"/>
    <b v="0"/>
    <n v="32312.9"/>
    <n v="429917.36"/>
    <n v="-8402.4699999999993"/>
    <b v="0"/>
  </r>
  <r>
    <x v="85"/>
    <s v="Juniper Residences 42"/>
    <s v="Subcontractors"/>
    <n v="641651.69999999995"/>
    <b v="0"/>
    <b v="0"/>
    <n v="0"/>
    <n v="693869.02"/>
    <n v="-52217.32"/>
    <b v="0"/>
  </r>
  <r>
    <x v="33"/>
    <s v="Copper Medical 44"/>
    <s v="Materials"/>
    <n v="115100"/>
    <b v="0"/>
    <b v="0"/>
    <n v="10980.55"/>
    <n v="109915.16"/>
    <n v="5184.84"/>
    <b v="0"/>
  </r>
  <r>
    <x v="23"/>
    <s v="Wasatch Commons 49"/>
    <s v="Materials"/>
    <n v="246578.27"/>
    <b v="0"/>
    <b v="0"/>
    <n v="13346.55"/>
    <n v="270619.77"/>
    <n v="-24041.5"/>
    <b v="0"/>
  </r>
  <r>
    <x v="30"/>
    <s v="Canyon Lodge 55"/>
    <s v="Subcontractors"/>
    <n v="395033"/>
    <b v="0"/>
    <b v="0"/>
    <n v="49827.24"/>
    <n v="370635.24"/>
    <n v="24397.759999999998"/>
    <b v="0"/>
  </r>
  <r>
    <x v="79"/>
    <s v="Juniper Commons 57"/>
    <s v="Permits &amp; Fees"/>
    <n v="31672"/>
    <b v="0"/>
    <b v="0"/>
    <n v="1870.07"/>
    <n v="28703.1"/>
    <n v="2968.9"/>
    <b v="0"/>
  </r>
  <r>
    <x v="38"/>
    <s v="Summit Center 61"/>
    <s v="General Conditions"/>
    <n v="166262.1"/>
    <b v="0"/>
    <b v="0"/>
    <n v="26006.880000000001"/>
    <n v="162618.64000000001"/>
    <n v="3643.46"/>
    <b v="0"/>
  </r>
  <r>
    <x v="93"/>
    <s v="Granite Residences 62"/>
    <s v="Other"/>
    <n v="49782.81"/>
    <b v="0"/>
    <b v="0"/>
    <n v="3540.48"/>
    <n v="44189"/>
    <n v="5593.81"/>
    <b v="0"/>
  </r>
  <r>
    <x v="65"/>
    <s v="Copper Office 67"/>
    <s v="Permits &amp; Fees"/>
    <n v="23385.26"/>
    <b v="0"/>
    <b v="0"/>
    <n v="512.24"/>
    <n v="22925.759999999998"/>
    <n v="459.5"/>
    <b v="0"/>
  </r>
  <r>
    <x v="24"/>
    <s v="Aspen Lodge 68"/>
    <s v="Equipment"/>
    <n v="34018.68"/>
    <b v="0"/>
    <b v="0"/>
    <n v="0"/>
    <n v="35400.870000000003"/>
    <n v="-1382.19"/>
    <b v="0"/>
  </r>
  <r>
    <x v="73"/>
    <s v="Aspen Office 72"/>
    <s v="Permits &amp; Fees"/>
    <n v="56923.95"/>
    <b v="0"/>
    <b v="0"/>
    <n v="3694.53"/>
    <n v="61844.71"/>
    <n v="-4920.76"/>
    <b v="0"/>
  </r>
  <r>
    <x v="74"/>
    <s v="Canyon Commons 73"/>
    <s v="Permits &amp; Fees"/>
    <n v="56589"/>
    <b v="0"/>
    <b v="0"/>
    <n v="0"/>
    <n v="58760.24"/>
    <n v="-2171.2399999999998"/>
    <b v="0"/>
  </r>
  <r>
    <x v="82"/>
    <s v="Canyon Center 79"/>
    <s v="General Conditions"/>
    <n v="102144"/>
    <b v="0"/>
    <b v="0"/>
    <n v="19961.12"/>
    <n v="79438.98"/>
    <n v="22705.02"/>
    <b v="0"/>
  </r>
  <r>
    <x v="75"/>
    <s v="Copper Center 86"/>
    <s v="Equipment"/>
    <n v="16076"/>
    <b v="0"/>
    <b v="0"/>
    <n v="1153.19"/>
    <n v="8529.2999999999993"/>
    <n v="7546.7"/>
    <b v="0"/>
  </r>
  <r>
    <x v="75"/>
    <s v="Copper Center 86"/>
    <s v="General Conditions"/>
    <n v="36171"/>
    <b v="0"/>
    <b v="0"/>
    <n v="2186.23"/>
    <n v="22095.72"/>
    <n v="14075.28"/>
    <b v="0"/>
  </r>
  <r>
    <x v="89"/>
    <s v="Copper Center 88"/>
    <s v="Equipment"/>
    <n v="35087.839999999997"/>
    <b v="0"/>
    <b v="0"/>
    <n v="2767.24"/>
    <n v="26801.74"/>
    <n v="8286.1"/>
    <b v="0"/>
  </r>
  <r>
    <x v="89"/>
    <s v="Copper Center 88"/>
    <s v="General Conditions"/>
    <n v="56147.73"/>
    <b v="0"/>
    <b v="0"/>
    <n v="0"/>
    <n v="47402.57"/>
    <n v="8745.16"/>
    <b v="0"/>
  </r>
  <r>
    <x v="40"/>
    <s v="Canyon Office 90"/>
    <s v="General Conditions"/>
    <n v="64605.86"/>
    <b v="0"/>
    <b v="0"/>
    <n v="2255.23"/>
    <n v="59761.4"/>
    <n v="4844.46"/>
    <b v="0"/>
  </r>
  <r>
    <x v="21"/>
    <s v="Granite Office 93"/>
    <s v="Subcontractors"/>
    <n v="663633"/>
    <b v="0"/>
    <b v="0"/>
    <n v="103488.03"/>
    <n v="393700.83"/>
    <n v="269932.17"/>
    <b v="0"/>
  </r>
  <r>
    <x v="51"/>
    <s v="Copper Commons 94"/>
    <s v="Subcontractors"/>
    <n v="580491.42000000004"/>
    <b v="0"/>
    <b v="0"/>
    <n v="13456.49"/>
    <n v="268409.53000000003"/>
    <n v="312081.89"/>
    <b v="0"/>
  </r>
  <r>
    <x v="41"/>
    <s v="Wasatch Renovation 07"/>
    <s v="Permits &amp; Fees"/>
    <n v="123890.04"/>
    <b v="0"/>
    <b v="0"/>
    <n v="33957.699999999997"/>
    <n v="111243.03"/>
    <n v="12647.01"/>
    <b v="0"/>
  </r>
  <r>
    <x v="62"/>
    <s v="Juniper Residences 15"/>
    <s v="Other"/>
    <n v="31607.8"/>
    <b v="0"/>
    <b v="0"/>
    <n v="0"/>
    <n v="30835.07"/>
    <n v="772.73"/>
    <b v="0"/>
  </r>
  <r>
    <x v="29"/>
    <s v="Copper Center 29"/>
    <s v="Materials"/>
    <n v="235686.2"/>
    <b v="0"/>
    <b v="0"/>
    <n v="56588.84"/>
    <n v="211362.76"/>
    <n v="24323.439999999999"/>
    <b v="0"/>
  </r>
  <r>
    <x v="38"/>
    <s v="Summit Center 61"/>
    <s v="Equipment"/>
    <n v="94933.66"/>
    <b v="0"/>
    <b v="0"/>
    <n v="8178.91"/>
    <n v="90709.51"/>
    <n v="4224.1499999999996"/>
    <b v="0"/>
  </r>
  <r>
    <x v="48"/>
    <s v="Aspen Lodge 65"/>
    <s v="Subcontractors"/>
    <n v="210366"/>
    <b v="0"/>
    <b v="0"/>
    <n v="20931.93"/>
    <n v="200597.55"/>
    <n v="9768.4500000000007"/>
    <b v="0"/>
  </r>
  <r>
    <x v="24"/>
    <s v="Aspen Lodge 68"/>
    <s v="General Conditions"/>
    <n v="59393.46"/>
    <b v="0"/>
    <b v="0"/>
    <n v="2104"/>
    <n v="59665.7"/>
    <n v="-272.24"/>
    <b v="0"/>
  </r>
  <r>
    <x v="82"/>
    <s v="Canyon Center 79"/>
    <s v="Equipment"/>
    <n v="63840"/>
    <b v="0"/>
    <b v="0"/>
    <n v="3818.77"/>
    <n v="56417.11"/>
    <n v="7422.89"/>
    <b v="0"/>
  </r>
  <r>
    <x v="60"/>
    <s v="Copper Retail 92"/>
    <s v="Permits &amp; Fees"/>
    <n v="32337.55"/>
    <b v="0"/>
    <b v="0"/>
    <n v="1477.09"/>
    <n v="27644.82"/>
    <n v="4692.7299999999996"/>
    <b v="0"/>
  </r>
  <r>
    <x v="40"/>
    <s v="Canyon Office 90"/>
    <s v="Equipment"/>
    <n v="45886.720000000001"/>
    <b v="0"/>
    <b v="0"/>
    <n v="1175.1099999999999"/>
    <n v="40380.089999999997"/>
    <n v="5506.63"/>
    <b v="0"/>
  </r>
  <r>
    <x v="1"/>
    <s v="Juniper Medical 04"/>
    <s v="Equipment"/>
    <n v="36525.69"/>
    <b v="0"/>
    <b v="0"/>
    <n v="850.3"/>
    <n v="35997.9"/>
    <n v="527.79"/>
    <b v="0"/>
  </r>
  <r>
    <x v="1"/>
    <s v="Juniper Medical 04"/>
    <s v="General Conditions"/>
    <n v="81190.149999999994"/>
    <b v="0"/>
    <b v="0"/>
    <n v="4882.1400000000003"/>
    <n v="74625.37"/>
    <n v="6564.78"/>
    <b v="0"/>
  </r>
  <r>
    <x v="4"/>
    <s v="Aspen Renovation 13"/>
    <s v="Equipment"/>
    <n v="88696"/>
    <b v="0"/>
    <b v="0"/>
    <n v="4220.32"/>
    <n v="83152.820000000007"/>
    <n v="5543.18"/>
    <b v="0"/>
  </r>
  <r>
    <x v="4"/>
    <s v="Aspen Renovation 13"/>
    <s v="General Conditions"/>
    <n v="155218"/>
    <b v="0"/>
    <b v="0"/>
    <n v="13243.15"/>
    <n v="160742.62"/>
    <n v="-5524.62"/>
    <b v="0"/>
  </r>
  <r>
    <x v="91"/>
    <s v="Copper Center 21"/>
    <s v="Subcontractors"/>
    <n v="433132.56"/>
    <b v="0"/>
    <b v="0"/>
    <n v="104465.38"/>
    <n v="389688.63"/>
    <n v="43443.93"/>
    <b v="0"/>
  </r>
  <r>
    <x v="71"/>
    <s v="Aspen Retail 24"/>
    <s v="Equipment"/>
    <n v="47053.07"/>
    <b v="0"/>
    <b v="0"/>
    <n v="14002"/>
    <n v="32820.39"/>
    <n v="14232.68"/>
    <b v="0"/>
  </r>
  <r>
    <x v="71"/>
    <s v="Aspen Retail 24"/>
    <s v="General Conditions"/>
    <n v="104744.12"/>
    <b v="0"/>
    <b v="0"/>
    <n v="5203.96"/>
    <n v="104693.45"/>
    <n v="50.67"/>
    <b v="0"/>
  </r>
  <r>
    <x v="7"/>
    <s v="Granite Commons 26"/>
    <s v="Permits &amp; Fees"/>
    <n v="89576.07"/>
    <b v="0"/>
    <b v="0"/>
    <n v="6900.8"/>
    <n v="79592.179999999993"/>
    <n v="9983.89"/>
    <b v="0"/>
  </r>
  <r>
    <x v="29"/>
    <s v="Copper Center 29"/>
    <s v="Permits &amp; Fees"/>
    <n v="52423.64"/>
    <b v="0"/>
    <b v="0"/>
    <n v="0"/>
    <n v="58222.64"/>
    <n v="-5799"/>
    <b v="0"/>
  </r>
  <r>
    <x v="37"/>
    <s v="Aspen Office 35"/>
    <s v="Subcontractors"/>
    <n v="322989"/>
    <b v="0"/>
    <b v="0"/>
    <n v="19831.34"/>
    <n v="323908.28999999998"/>
    <n v="-919.29"/>
    <b v="0"/>
  </r>
  <r>
    <x v="52"/>
    <s v="Canyon Office 41"/>
    <s v="Permits &amp; Fees"/>
    <n v="87952.68"/>
    <b v="0"/>
    <b v="0"/>
    <n v="0"/>
    <n v="91326.07"/>
    <n v="-3373.39"/>
    <b v="0"/>
  </r>
  <r>
    <x v="85"/>
    <s v="Juniper Residences 42"/>
    <s v="Other"/>
    <n v="61701.64"/>
    <b v="0"/>
    <b v="0"/>
    <n v="5454.01"/>
    <n v="58155.55"/>
    <n v="3546.09"/>
    <b v="0"/>
  </r>
  <r>
    <x v="86"/>
    <s v="Bonneville Office 45"/>
    <s v="Equipment"/>
    <n v="47040"/>
    <b v="0"/>
    <b v="0"/>
    <n v="0"/>
    <n v="42217.08"/>
    <n v="4822.92"/>
    <b v="0"/>
  </r>
  <r>
    <x v="86"/>
    <s v="Bonneville Office 45"/>
    <s v="General Conditions"/>
    <n v="105840"/>
    <b v="0"/>
    <b v="0"/>
    <n v="16035.86"/>
    <n v="80572.56"/>
    <n v="25267.439999999999"/>
    <b v="0"/>
  </r>
  <r>
    <x v="30"/>
    <s v="Canyon Lodge 55"/>
    <s v="Other"/>
    <n v="38229"/>
    <b v="0"/>
    <b v="0"/>
    <n v="2454.44"/>
    <n v="40646.03"/>
    <n v="-2417.0300000000002"/>
    <b v="0"/>
  </r>
  <r>
    <x v="79"/>
    <s v="Juniper Commons 57"/>
    <s v="Materials"/>
    <n v="197950"/>
    <b v="0"/>
    <b v="0"/>
    <n v="9205.06"/>
    <n v="202929.38"/>
    <n v="-4979.38"/>
    <b v="0"/>
  </r>
  <r>
    <x v="93"/>
    <s v="Granite Residences 62"/>
    <s v="Subcontractors"/>
    <n v="760763.97"/>
    <b v="0"/>
    <b v="0"/>
    <n v="70082.97"/>
    <n v="768041.15"/>
    <n v="-7277.18"/>
    <b v="0"/>
  </r>
  <r>
    <x v="48"/>
    <s v="Aspen Lodge 65"/>
    <s v="Other"/>
    <n v="20358"/>
    <b v="0"/>
    <b v="0"/>
    <n v="791.23"/>
    <n v="20442.96"/>
    <n v="-84.96"/>
    <b v="0"/>
  </r>
  <r>
    <x v="73"/>
    <s v="Aspen Office 72"/>
    <s v="Materials"/>
    <n v="297627.21999999997"/>
    <b v="0"/>
    <b v="0"/>
    <n v="58604.54"/>
    <n v="310028.95"/>
    <n v="-12401.73"/>
    <b v="0"/>
  </r>
  <r>
    <x v="74"/>
    <s v="Canyon Commons 73"/>
    <s v="Materials"/>
    <n v="547027"/>
    <b v="0"/>
    <b v="0"/>
    <n v="130621.81"/>
    <n v="457181.57"/>
    <n v="89845.43"/>
    <b v="0"/>
  </r>
  <r>
    <x v="60"/>
    <s v="Copper Retail 92"/>
    <s v="Materials"/>
    <n v="196960.79"/>
    <b v="0"/>
    <b v="0"/>
    <n v="0"/>
    <n v="188123.41"/>
    <n v="8837.3799999999992"/>
    <b v="0"/>
  </r>
  <r>
    <x v="21"/>
    <s v="Granite Office 93"/>
    <s v="Other"/>
    <n v="73737"/>
    <b v="0"/>
    <b v="0"/>
    <n v="4116.2299999999996"/>
    <n v="50264.82"/>
    <n v="23472.18"/>
    <b v="0"/>
  </r>
  <r>
    <x v="41"/>
    <s v="Wasatch Renovation 07"/>
    <s v="Materials"/>
    <n v="612380.56999999995"/>
    <b v="0"/>
    <b v="0"/>
    <n v="0"/>
    <n v="732358.26"/>
    <n v="-119977.69"/>
    <b v="0"/>
  </r>
  <r>
    <x v="3"/>
    <s v="Granite Residences 11"/>
    <s v="Equipment"/>
    <n v="41500"/>
    <b v="0"/>
    <b v="0"/>
    <n v="9957.66"/>
    <n v="32698.7"/>
    <n v="8801.2999999999993"/>
    <b v="0"/>
  </r>
  <r>
    <x v="62"/>
    <s v="Juniper Residences 15"/>
    <s v="Subcontractors"/>
    <n v="299367.89"/>
    <b v="0"/>
    <b v="0"/>
    <n v="79704.66"/>
    <n v="237134.51"/>
    <n v="62233.38"/>
    <b v="0"/>
  </r>
  <r>
    <x v="5"/>
    <s v="Wasatch Lodge 16"/>
    <s v="Permits &amp; Fees"/>
    <n v="18009.53"/>
    <b v="0"/>
    <b v="0"/>
    <n v="0"/>
    <n v="18290.240000000002"/>
    <n v="-280.70999999999998"/>
    <b v="0"/>
  </r>
  <r>
    <x v="43"/>
    <s v="Wasatch Commons 20"/>
    <s v="Subcontractors"/>
    <n v="157299.26"/>
    <b v="0"/>
    <b v="0"/>
    <n v="0"/>
    <n v="161604.04999999999"/>
    <n v="-4304.79"/>
    <b v="0"/>
  </r>
  <r>
    <x v="6"/>
    <s v="Bonneville Retail 33"/>
    <s v="Permits &amp; Fees"/>
    <n v="34020"/>
    <b v="0"/>
    <b v="0"/>
    <n v="6399.4"/>
    <n v="28165.63"/>
    <n v="5854.37"/>
    <b v="0"/>
  </r>
  <r>
    <x v="69"/>
    <s v="Summit Medical 52"/>
    <s v="Equipment"/>
    <n v="64943.8"/>
    <b v="0"/>
    <b v="0"/>
    <n v="1868.85"/>
    <n v="61603.9"/>
    <n v="3339.9"/>
    <b v="0"/>
  </r>
  <r>
    <x v="69"/>
    <s v="Summit Medical 52"/>
    <s v="General Conditions"/>
    <n v="113407"/>
    <b v="0"/>
    <b v="0"/>
    <n v="6777.7"/>
    <n v="109320.64"/>
    <n v="4086.36"/>
    <b v="0"/>
  </r>
  <r>
    <x v="65"/>
    <s v="Copper Office 67"/>
    <s v="Materials"/>
    <n v="143924.13"/>
    <b v="0"/>
    <b v="0"/>
    <n v="32167.439999999999"/>
    <n v="114352.02"/>
    <n v="29572.11"/>
    <b v="0"/>
  </r>
  <r>
    <x v="3"/>
    <s v="Granite Residences 11"/>
    <s v="General Conditions"/>
    <n v="66400"/>
    <b v="0"/>
    <b v="0"/>
    <n v="1437.5"/>
    <n v="63584.13"/>
    <n v="2815.87"/>
    <b v="0"/>
  </r>
  <r>
    <x v="32"/>
    <s v="Summit Lodge 31"/>
    <s v="Permits &amp; Fees"/>
    <n v="21240"/>
    <b v="0"/>
    <b v="0"/>
    <n v="1602.22"/>
    <n v="20659.71"/>
    <n v="580.29"/>
    <b v="0"/>
  </r>
  <r>
    <x v="33"/>
    <s v="Copper Medical 44"/>
    <s v="Permits &amp; Fees"/>
    <n v="18416"/>
    <b v="0"/>
    <b v="0"/>
    <n v="3936.06"/>
    <n v="14495.13"/>
    <n v="3920.87"/>
    <b v="0"/>
  </r>
  <r>
    <x v="51"/>
    <s v="Copper Commons 94"/>
    <s v="Other"/>
    <n v="37778.629999999997"/>
    <b v="0"/>
    <b v="0"/>
    <n v="402.32"/>
    <n v="15459.27"/>
    <n v="22319.360000000001"/>
    <b v="0"/>
  </r>
  <r>
    <x v="23"/>
    <s v="Wasatch Commons 49"/>
    <s v="Permits &amp; Fees"/>
    <n v="42271.14"/>
    <b v="0"/>
    <b v="0"/>
    <n v="0"/>
    <n v="46231.09"/>
    <n v="-3959.95"/>
    <b v="0"/>
  </r>
  <r>
    <x v="41"/>
    <s v="Wasatch Renovation 07"/>
    <s v="Equipment"/>
    <n v="85110.05"/>
    <b v="0"/>
    <b v="0"/>
    <n v="11280.37"/>
    <n v="74766.89"/>
    <n v="10343.16"/>
    <b v="0"/>
  </r>
  <r>
    <x v="41"/>
    <s v="Wasatch Renovation 07"/>
    <s v="General Conditions"/>
    <n v="148565.09"/>
    <b v="0"/>
    <b v="0"/>
    <n v="0"/>
    <n v="176846.02"/>
    <n v="-28280.93"/>
    <b v="0"/>
  </r>
  <r>
    <x v="3"/>
    <s v="Granite Residences 11"/>
    <s v="Materials"/>
    <n v="199200"/>
    <b v="0"/>
    <b v="0"/>
    <n v="4393.5200000000004"/>
    <n v="214037.74"/>
    <n v="-14837.74"/>
    <b v="0"/>
  </r>
  <r>
    <x v="92"/>
    <s v="Bonneville Commons 36"/>
    <s v="Subcontractors"/>
    <n v="659618"/>
    <b v="0"/>
    <b v="0"/>
    <n v="0"/>
    <n v="672597.61"/>
    <n v="-12979.61"/>
    <b v="0"/>
  </r>
  <r>
    <x v="45"/>
    <s v="Granite Medical 43"/>
    <s v="Other"/>
    <n v="27691.919999999998"/>
    <b v="0"/>
    <b v="0"/>
    <n v="3518.25"/>
    <n v="26338.37"/>
    <n v="1353.55"/>
    <b v="0"/>
  </r>
  <r>
    <x v="54"/>
    <s v="Aspen Retail 51"/>
    <s v="Other"/>
    <n v="12846"/>
    <b v="0"/>
    <b v="0"/>
    <n v="1758.42"/>
    <n v="10991.65"/>
    <n v="1854.35"/>
    <b v="0"/>
  </r>
  <r>
    <x v="69"/>
    <s v="Summit Medical 52"/>
    <s v="Materials"/>
    <n v="527379.21"/>
    <b v="0"/>
    <b v="0"/>
    <n v="0"/>
    <n v="543440.85"/>
    <n v="-16061.64"/>
    <b v="0"/>
  </r>
  <r>
    <x v="87"/>
    <s v="Wasatch Center 53"/>
    <s v="Subcontractors"/>
    <n v="475451.35"/>
    <b v="0"/>
    <b v="0"/>
    <n v="82976.28"/>
    <n v="395221.45"/>
    <n v="80229.899999999994"/>
    <b v="0"/>
  </r>
  <r>
    <x v="47"/>
    <s v="Wasatch Office 56"/>
    <s v="Other"/>
    <n v="10653.22"/>
    <b v="0"/>
    <b v="0"/>
    <n v="0"/>
    <n v="9799.9699999999993"/>
    <n v="853.25"/>
    <b v="0"/>
  </r>
  <r>
    <x v="79"/>
    <s v="Juniper Commons 57"/>
    <s v="Equipment"/>
    <n v="31672"/>
    <b v="1"/>
    <b v="0"/>
    <n v="3953.42"/>
    <n v="27412.31"/>
    <n v="4259.6899999999996"/>
    <b v="0"/>
  </r>
  <r>
    <x v="79"/>
    <s v="Juniper Commons 57"/>
    <s v="General Conditions"/>
    <n v="71262"/>
    <b v="0"/>
    <b v="0"/>
    <n v="14933.34"/>
    <n v="60207.48"/>
    <n v="11054.52"/>
    <b v="0"/>
  </r>
  <r>
    <x v="81"/>
    <s v="Canyon Retail 60"/>
    <s v="Other"/>
    <n v="41443.97"/>
    <b v="0"/>
    <b v="0"/>
    <n v="2949.24"/>
    <n v="36525.39"/>
    <n v="4918.58"/>
    <b v="0"/>
  </r>
  <r>
    <x v="59"/>
    <s v="Juniper Commons 64"/>
    <s v="Subcontractors"/>
    <n v="420976.33"/>
    <b v="0"/>
    <b v="0"/>
    <n v="34568.67"/>
    <n v="388991.64"/>
    <n v="31984.69"/>
    <b v="0"/>
  </r>
  <r>
    <x v="65"/>
    <s v="Copper Office 67"/>
    <s v="Equipment"/>
    <n v="29321.89"/>
    <b v="0"/>
    <b v="0"/>
    <n v="6012.69"/>
    <n v="23791.03"/>
    <n v="5530.86"/>
    <b v="0"/>
  </r>
  <r>
    <x v="24"/>
    <s v="Aspen Lodge 68"/>
    <s v="Permits &amp; Fees"/>
    <n v="25374.78"/>
    <b v="0"/>
    <b v="0"/>
    <n v="0"/>
    <n v="25783.64"/>
    <n v="-408.86"/>
    <b v="0"/>
  </r>
  <r>
    <x v="66"/>
    <s v="Bonneville Retail 69"/>
    <s v="Other"/>
    <n v="20734.22"/>
    <b v="0"/>
    <b v="0"/>
    <n v="1917.09"/>
    <n v="20794.189999999999"/>
    <n v="-59.97"/>
    <b v="0"/>
  </r>
  <r>
    <x v="73"/>
    <s v="Aspen Office 72"/>
    <s v="Equipment"/>
    <n v="40300.93"/>
    <b v="0"/>
    <b v="0"/>
    <n v="8784.44"/>
    <n v="32620.67"/>
    <n v="7680.26"/>
    <b v="0"/>
  </r>
  <r>
    <x v="73"/>
    <s v="Aspen Office 72"/>
    <s v="General Conditions"/>
    <n v="70173.88"/>
    <b v="0"/>
    <b v="0"/>
    <n v="20316.400000000001"/>
    <n v="60422.85"/>
    <n v="9751.0300000000007"/>
    <b v="0"/>
  </r>
  <r>
    <x v="74"/>
    <s v="Canyon Commons 73"/>
    <s v="Equipment"/>
    <n v="94315"/>
    <b v="0"/>
    <b v="0"/>
    <n v="3419.56"/>
    <n v="102875.54"/>
    <n v="-8560.5400000000009"/>
    <b v="0"/>
  </r>
  <r>
    <x v="74"/>
    <s v="Canyon Commons 73"/>
    <s v="General Conditions"/>
    <n v="132041"/>
    <b v="0"/>
    <b v="0"/>
    <n v="12916.81"/>
    <n v="134119.73000000001"/>
    <n v="-2078.73"/>
    <b v="0"/>
  </r>
  <r>
    <x v="18"/>
    <s v="Granite Center 76"/>
    <s v="Subcontractors"/>
    <n v="338104.94"/>
    <b v="0"/>
    <b v="0"/>
    <n v="38915.35"/>
    <n v="249809.78"/>
    <n v="88295.16"/>
    <b v="0"/>
  </r>
  <r>
    <x v="82"/>
    <s v="Canyon Center 79"/>
    <s v="Permits &amp; Fees"/>
    <n v="51072"/>
    <b v="0"/>
    <b v="0"/>
    <n v="9321.07"/>
    <n v="35350.49"/>
    <n v="15721.51"/>
    <b v="0"/>
  </r>
  <r>
    <x v="40"/>
    <s v="Canyon Office 90"/>
    <s v="Permits &amp; Fees"/>
    <n v="27623.15"/>
    <b v="0"/>
    <b v="0"/>
    <n v="0"/>
    <n v="24765.73"/>
    <n v="2857.42"/>
    <b v="0"/>
  </r>
  <r>
    <x v="60"/>
    <s v="Copper Retail 92"/>
    <s v="Equipment"/>
    <n v="40495.32"/>
    <b v="0"/>
    <b v="0"/>
    <n v="4050.71"/>
    <n v="35756.93"/>
    <n v="4738.3900000000003"/>
    <b v="0"/>
  </r>
  <r>
    <x v="60"/>
    <s v="Copper Retail 92"/>
    <s v="General Conditions"/>
    <n v="64821.87"/>
    <b v="0"/>
    <b v="0"/>
    <n v="0"/>
    <n v="64622.54"/>
    <n v="199.33"/>
    <b v="0"/>
  </r>
  <r>
    <x v="1"/>
    <s v="Juniper Medical 04"/>
    <s v="Materials"/>
    <n v="235801.39"/>
    <b v="0"/>
    <b v="0"/>
    <n v="7550.08"/>
    <n v="224161.34"/>
    <n v="11640.05"/>
    <b v="0"/>
  </r>
  <r>
    <x v="76"/>
    <s v="Summit Residences 05"/>
    <s v="Permits &amp; Fees"/>
    <n v="141342.68"/>
    <b v="0"/>
    <b v="0"/>
    <n v="11073.09"/>
    <n v="139328.23000000001"/>
    <n v="2014.45"/>
    <b v="0"/>
  </r>
  <r>
    <x v="4"/>
    <s v="Aspen Renovation 13"/>
    <s v="Materials"/>
    <n v="620872"/>
    <b v="0"/>
    <b v="0"/>
    <n v="135931.9"/>
    <n v="598047.73"/>
    <n v="22824.27"/>
    <b v="0"/>
  </r>
  <r>
    <x v="71"/>
    <s v="Aspen Retail 24"/>
    <s v="Materials"/>
    <n v="302601.78999999998"/>
    <b v="0"/>
    <b v="0"/>
    <n v="98092.18"/>
    <n v="219863.72"/>
    <n v="82738.070000000007"/>
    <b v="0"/>
  </r>
  <r>
    <x v="44"/>
    <s v="Copper Office 28"/>
    <s v="Other"/>
    <n v="6957.72"/>
    <b v="0"/>
    <b v="0"/>
    <n v="0"/>
    <n v="6354.38"/>
    <n v="603.34"/>
    <b v="0"/>
  </r>
  <r>
    <x v="86"/>
    <s v="Bonneville Office 45"/>
    <s v="Materials"/>
    <n v="294000"/>
    <b v="0"/>
    <b v="0"/>
    <n v="6654.55"/>
    <n v="283651.95"/>
    <n v="10348.049999999999"/>
    <b v="0"/>
  </r>
  <r>
    <x v="65"/>
    <s v="Copper Office 67"/>
    <s v="General Conditions"/>
    <n v="46951.15"/>
    <b v="0"/>
    <b v="0"/>
    <n v="2241.84"/>
    <n v="45348.15"/>
    <n v="1603"/>
    <b v="0"/>
  </r>
  <r>
    <x v="75"/>
    <s v="Copper Center 86"/>
    <s v="Permits &amp; Fees"/>
    <n v="16076"/>
    <b v="0"/>
    <b v="0"/>
    <n v="958.99"/>
    <n v="8825.4"/>
    <n v="7250.6"/>
    <b v="0"/>
  </r>
  <r>
    <x v="89"/>
    <s v="Copper Center 88"/>
    <s v="Permits &amp; Fees"/>
    <n v="28055.89"/>
    <b v="0"/>
    <b v="0"/>
    <n v="3528.69"/>
    <n v="18916.3"/>
    <n v="9139.59"/>
    <b v="0"/>
  </r>
  <r>
    <x v="38"/>
    <s v="Summit Center 61"/>
    <s v="Permits &amp; Fees"/>
    <n v="143682.44"/>
    <b v="0"/>
    <b v="0"/>
    <n v="36895.910000000003"/>
    <n v="128812.06"/>
    <n v="14870.38"/>
    <b v="0"/>
  </r>
  <r>
    <x v="76"/>
    <s v="Summit Residences 05"/>
    <s v="Materials"/>
    <n v="700066.95"/>
    <b v="0"/>
    <b v="0"/>
    <n v="46433"/>
    <n v="760489.66"/>
    <n v="-60422.71"/>
    <b v="0"/>
  </r>
  <r>
    <x v="5"/>
    <s v="Wasatch Lodge 16"/>
    <s v="Equipment"/>
    <n v="22591.29"/>
    <b v="0"/>
    <b v="0"/>
    <n v="2874.92"/>
    <n v="19589.580000000002"/>
    <n v="3001.71"/>
    <b v="0"/>
  </r>
  <r>
    <x v="71"/>
    <s v="Aspen Retail 24"/>
    <s v="Permits &amp; Fees"/>
    <n v="46410.05"/>
    <b v="0"/>
    <b v="0"/>
    <n v="3835.82"/>
    <n v="46513.85"/>
    <n v="-103.8"/>
    <b v="0"/>
  </r>
  <r>
    <x v="7"/>
    <s v="Granite Commons 26"/>
    <s v="General Conditions"/>
    <n v="209540.68"/>
    <b v="0"/>
    <b v="0"/>
    <n v="19374.689999999999"/>
    <n v="202176.68"/>
    <n v="7364"/>
    <b v="0"/>
  </r>
  <r>
    <x v="44"/>
    <s v="Copper Office 28"/>
    <s v="Subcontractors"/>
    <n v="65979.14"/>
    <b v="0"/>
    <b v="0"/>
    <n v="0"/>
    <n v="66740.960000000006"/>
    <n v="-761.82"/>
    <b v="0"/>
  </r>
  <r>
    <x v="29"/>
    <s v="Copper Center 29"/>
    <s v="Equipment"/>
    <n v="34290.46"/>
    <b v="0"/>
    <b v="0"/>
    <n v="0"/>
    <n v="37343.47"/>
    <n v="-3053.01"/>
    <b v="0"/>
  </r>
  <r>
    <x v="32"/>
    <s v="Summit Lodge 31"/>
    <s v="General Conditions"/>
    <n v="42480"/>
    <b v="0"/>
    <b v="0"/>
    <n v="2868.51"/>
    <n v="44963.17"/>
    <n v="-2483.17"/>
    <b v="0"/>
  </r>
  <r>
    <x v="6"/>
    <s v="Bonneville Retail 33"/>
    <s v="General Conditions"/>
    <n v="76545"/>
    <b v="0"/>
    <b v="0"/>
    <n v="0"/>
    <n v="80705.7"/>
    <n v="-4160.7"/>
    <b v="0"/>
  </r>
  <r>
    <x v="92"/>
    <s v="Bonneville Commons 36"/>
    <s v="Other"/>
    <n v="63834"/>
    <b v="0"/>
    <b v="0"/>
    <n v="6209.37"/>
    <n v="59114.79"/>
    <n v="4719.21"/>
    <b v="0"/>
  </r>
  <r>
    <x v="52"/>
    <s v="Canyon Office 41"/>
    <s v="Equipment"/>
    <n v="59449.02"/>
    <b v="0"/>
    <b v="0"/>
    <n v="7055.42"/>
    <n v="51902.76"/>
    <n v="7546.26"/>
    <b v="0"/>
  </r>
  <r>
    <x v="52"/>
    <s v="Canyon Office 41"/>
    <s v="General Conditions"/>
    <n v="103913.7"/>
    <b v="0"/>
    <b v="0"/>
    <n v="6223.48"/>
    <n v="103305.21"/>
    <n v="608.49"/>
    <b v="0"/>
  </r>
  <r>
    <x v="45"/>
    <s v="Granite Medical 43"/>
    <s v="Subcontractors"/>
    <n v="287267.27"/>
    <b v="0"/>
    <b v="0"/>
    <n v="32516.26"/>
    <n v="264471.82"/>
    <n v="22795.45"/>
    <b v="0"/>
  </r>
  <r>
    <x v="33"/>
    <s v="Copper Medical 44"/>
    <s v="Equipment"/>
    <n v="18416"/>
    <b v="0"/>
    <b v="0"/>
    <n v="3126.88"/>
    <n v="15999.41"/>
    <n v="2416.59"/>
    <b v="0"/>
  </r>
  <r>
    <x v="86"/>
    <s v="Bonneville Office 45"/>
    <s v="Permits &amp; Fees"/>
    <n v="47040"/>
    <b v="0"/>
    <b v="0"/>
    <n v="2010.9"/>
    <n v="41489.67"/>
    <n v="5550.33"/>
    <b v="0"/>
  </r>
  <r>
    <x v="23"/>
    <s v="Wasatch Commons 49"/>
    <s v="Equipment"/>
    <n v="52662.71"/>
    <b v="0"/>
    <b v="0"/>
    <n v="9989.94"/>
    <n v="45687"/>
    <n v="6975.71"/>
    <b v="0"/>
  </r>
  <r>
    <x v="23"/>
    <s v="Wasatch Commons 49"/>
    <s v="General Conditions"/>
    <n v="84189.85"/>
    <b v="0"/>
    <b v="0"/>
    <n v="20668.07"/>
    <n v="79995.360000000001"/>
    <n v="4194.49"/>
    <b v="0"/>
  </r>
  <r>
    <x v="54"/>
    <s v="Aspen Retail 51"/>
    <s v="Subcontractors"/>
    <n v="119896"/>
    <b v="0"/>
    <b v="0"/>
    <n v="0"/>
    <n v="122322.65"/>
    <n v="-2426.65"/>
    <b v="0"/>
  </r>
  <r>
    <x v="87"/>
    <s v="Wasatch Center 53"/>
    <s v="Other"/>
    <n v="46302.65"/>
    <b v="0"/>
    <b v="0"/>
    <n v="5777.64"/>
    <n v="43379.23"/>
    <n v="2923.42"/>
    <b v="0"/>
  </r>
  <r>
    <x v="47"/>
    <s v="Wasatch Office 56"/>
    <s v="Subcontractors"/>
    <n v="100406.04"/>
    <b v="0"/>
    <b v="0"/>
    <n v="4604.4799999999996"/>
    <n v="94329.919999999998"/>
    <n v="6076.12"/>
    <b v="0"/>
  </r>
  <r>
    <x v="81"/>
    <s v="Canyon Retail 60"/>
    <s v="Subcontractors"/>
    <n v="377311.08"/>
    <b v="0"/>
    <b v="0"/>
    <n v="65196.49"/>
    <n v="321501.08"/>
    <n v="55810"/>
    <b v="0"/>
  </r>
  <r>
    <x v="24"/>
    <s v="Aspen Lodge 68"/>
    <s v="Materials"/>
    <n v="276604.53000000003"/>
    <b v="0"/>
    <b v="0"/>
    <n v="0"/>
    <n v="295611.99"/>
    <n v="-19007.46"/>
    <b v="0"/>
  </r>
  <r>
    <x v="66"/>
    <s v="Bonneville Retail 69"/>
    <s v="Subcontractors"/>
    <n v="212328.92"/>
    <b v="0"/>
    <b v="0"/>
    <n v="16994.84"/>
    <n v="217809.97"/>
    <n v="-5481.05"/>
    <b v="0"/>
  </r>
  <r>
    <x v="18"/>
    <s v="Granite Center 76"/>
    <s v="Other"/>
    <n v="32397.8"/>
    <b v="0"/>
    <b v="0"/>
    <n v="3090.84"/>
    <n v="25384.98"/>
    <n v="7012.82"/>
    <b v="0"/>
  </r>
  <r>
    <x v="75"/>
    <s v="Copper Center 86"/>
    <s v="Materials"/>
    <n v="100475"/>
    <b v="0"/>
    <b v="0"/>
    <n v="2606.62"/>
    <n v="62992.08"/>
    <n v="37482.92"/>
    <b v="0"/>
  </r>
  <r>
    <x v="89"/>
    <s v="Copper Center 88"/>
    <s v="Materials"/>
    <n v="169054.29"/>
    <b v="0"/>
    <b v="0"/>
    <n v="28411.42"/>
    <n v="108353.25"/>
    <n v="60701.04"/>
    <b v="0"/>
  </r>
  <r>
    <x v="40"/>
    <s v="Canyon Office 90"/>
    <s v="Materials"/>
    <n v="272794.33"/>
    <b v="0"/>
    <b v="0"/>
    <n v="64453.95"/>
    <n v="198293.44"/>
    <n v="74500.89"/>
    <b v="0"/>
  </r>
  <r>
    <x v="3"/>
    <s v="Granite Residences 11"/>
    <s v="Permits &amp; Fees"/>
    <n v="33200"/>
    <b v="0"/>
    <b v="0"/>
    <n v="3708.45"/>
    <n v="29529.48"/>
    <n v="3670.52"/>
    <b v="0"/>
  </r>
  <r>
    <x v="5"/>
    <s v="Wasatch Lodge 16"/>
    <s v="General Conditions"/>
    <n v="36177.81"/>
    <b v="0"/>
    <b v="0"/>
    <n v="6697.77"/>
    <n v="34487.93"/>
    <n v="1689.88"/>
    <b v="0"/>
  </r>
  <r>
    <x v="7"/>
    <s v="Granite Commons 26"/>
    <s v="Equipment"/>
    <n v="148763.60999999999"/>
    <b v="0"/>
    <b v="0"/>
    <n v="19569.02"/>
    <n v="124786.35"/>
    <n v="23977.26"/>
    <b v="0"/>
  </r>
  <r>
    <x v="29"/>
    <s v="Copper Center 29"/>
    <s v="General Conditions"/>
    <n v="60107.09"/>
    <b v="0"/>
    <b v="0"/>
    <n v="7299"/>
    <n v="58841.56"/>
    <n v="1265.53"/>
    <b v="0"/>
  </r>
  <r>
    <x v="33"/>
    <s v="Copper Medical 44"/>
    <s v="General Conditions"/>
    <n v="41436"/>
    <b v="0"/>
    <b v="0"/>
    <n v="4138.17"/>
    <n v="38466.589999999997"/>
    <n v="2969.41"/>
    <b v="0"/>
  </r>
  <r>
    <x v="69"/>
    <s v="Summit Medical 52"/>
    <s v="Permits &amp; Fees"/>
    <n v="48463.199999999997"/>
    <b v="0"/>
    <b v="0"/>
    <n v="2934.1"/>
    <n v="43753.43"/>
    <n v="4709.7700000000004"/>
    <b v="0"/>
  </r>
  <r>
    <x v="59"/>
    <s v="Juniper Commons 64"/>
    <s v="Other"/>
    <n v="40531.42"/>
    <b v="0"/>
    <b v="0"/>
    <n v="4303.1499999999996"/>
    <n v="31226.92"/>
    <n v="9304.5"/>
    <b v="0"/>
  </r>
  <r>
    <x v="82"/>
    <s v="Canyon Center 79"/>
    <s v="Materials"/>
    <n v="306432"/>
    <b v="0"/>
    <b v="0"/>
    <n v="53551.02"/>
    <n v="244014.88"/>
    <n v="62417.120000000003"/>
    <b v="0"/>
  </r>
  <r>
    <x v="1"/>
    <s v="Juniper Medical 04"/>
    <s v="Permits &amp; Fees"/>
    <n v="35958.46"/>
    <b v="0"/>
    <b v="0"/>
    <n v="1734.63"/>
    <n v="34549.22"/>
    <n v="1409.24"/>
    <b v="0"/>
  </r>
  <r>
    <x v="6"/>
    <s v="Bonneville Retail 33"/>
    <s v="Equipment"/>
    <n v="34020"/>
    <b v="0"/>
    <b v="0"/>
    <n v="0"/>
    <n v="31909.279999999999"/>
    <n v="2110.7199999999998"/>
    <b v="0"/>
  </r>
  <r>
    <x v="38"/>
    <s v="Summit Center 61"/>
    <s v="Materials"/>
    <n v="658895.01"/>
    <b v="0"/>
    <b v="0"/>
    <n v="60703.73"/>
    <n v="713709.53"/>
    <n v="-54814.52"/>
    <b v="0"/>
  </r>
  <r>
    <x v="32"/>
    <s v="Summit Lodge 31"/>
    <s v="Equipment"/>
    <n v="26550"/>
    <b v="0"/>
    <b v="0"/>
    <n v="466.1"/>
    <n v="28433.08"/>
    <n v="-1883.08"/>
    <b v="0"/>
  </r>
  <r>
    <x v="4"/>
    <s v="Aspen Renovation 13"/>
    <s v="Permits &amp; Fees"/>
    <n v="133044"/>
    <b v="0"/>
    <b v="0"/>
    <n v="19569.689999999999"/>
    <n v="129434.93"/>
    <n v="3609.07"/>
    <b v="0"/>
  </r>
  <r>
    <x v="1"/>
    <s v="Juniper Medical 04"/>
    <s v="Other"/>
    <n v="27252.47"/>
    <b v="0"/>
    <b v="0"/>
    <n v="1286.96"/>
    <n v="23633.05"/>
    <n v="3619.42"/>
    <b v="0"/>
  </r>
  <r>
    <x v="76"/>
    <s v="Summit Residences 05"/>
    <s v="Subcontractors"/>
    <n v="760026.24"/>
    <b v="0"/>
    <b v="0"/>
    <n v="0"/>
    <n v="775461.62"/>
    <n v="-15435.38"/>
    <b v="0"/>
  </r>
  <r>
    <x v="3"/>
    <s v="Granite Residences 11"/>
    <s v="Other"/>
    <n v="24900"/>
    <b v="0"/>
    <b v="0"/>
    <n v="0"/>
    <n v="23549.4"/>
    <n v="1350.6"/>
    <b v="0"/>
  </r>
  <r>
    <x v="4"/>
    <s v="Aspen Renovation 13"/>
    <s v="Other"/>
    <n v="44348"/>
    <b v="0"/>
    <b v="0"/>
    <n v="2971.02"/>
    <n v="43333.31"/>
    <n v="1014.69"/>
    <b v="0"/>
  </r>
  <r>
    <x v="71"/>
    <s v="Aspen Retail 24"/>
    <s v="Other"/>
    <n v="35129.06"/>
    <b v="0"/>
    <b v="0"/>
    <n v="6035.91"/>
    <n v="30018.45"/>
    <n v="5110.6099999999997"/>
    <b v="0"/>
  </r>
  <r>
    <x v="44"/>
    <s v="Copper Office 28"/>
    <s v="Materials"/>
    <n v="59895.42"/>
    <b v="0"/>
    <b v="0"/>
    <n v="13813.38"/>
    <n v="44129.04"/>
    <n v="15766.38"/>
    <b v="0"/>
  </r>
  <r>
    <x v="92"/>
    <s v="Bonneville Commons 36"/>
    <s v="Permits &amp; Fees"/>
    <n v="85112"/>
    <b v="0"/>
    <b v="0"/>
    <n v="9993.49"/>
    <n v="70590.960000000006"/>
    <n v="14521.04"/>
    <b v="0"/>
  </r>
  <r>
    <x v="85"/>
    <s v="Juniper Residences 42"/>
    <s v="Equipment"/>
    <n v="102621.97"/>
    <b v="0"/>
    <b v="0"/>
    <n v="6605.47"/>
    <n v="104714.78"/>
    <n v="-2092.81"/>
    <b v="0"/>
  </r>
  <r>
    <x v="85"/>
    <s v="Juniper Residences 42"/>
    <s v="General Conditions"/>
    <n v="164323.60999999999"/>
    <b v="0"/>
    <b v="0"/>
    <n v="6841.24"/>
    <n v="182088.2"/>
    <n v="-17764.59"/>
    <b v="0"/>
  </r>
  <r>
    <x v="45"/>
    <s v="Granite Medical 43"/>
    <s v="Materials"/>
    <n v="224358.55"/>
    <b v="0"/>
    <b v="0"/>
    <n v="54601.87"/>
    <n v="170938.09"/>
    <n v="53420.46"/>
    <b v="0"/>
  </r>
  <r>
    <x v="86"/>
    <s v="Bonneville Office 45"/>
    <s v="Other"/>
    <n v="35280"/>
    <b v="0"/>
    <b v="0"/>
    <n v="2429.59"/>
    <n v="32729.01"/>
    <n v="2550.9899999999998"/>
    <b v="0"/>
  </r>
  <r>
    <x v="54"/>
    <s v="Aspen Retail 51"/>
    <s v="Materials"/>
    <n v="107050"/>
    <b v="0"/>
    <b v="0"/>
    <n v="7909.38"/>
    <n v="101056.18"/>
    <n v="5993.82"/>
    <b v="0"/>
  </r>
  <r>
    <x v="69"/>
    <s v="Summit Medical 52"/>
    <s v="Other"/>
    <n v="48463.19"/>
    <b v="0"/>
    <b v="0"/>
    <n v="769.07"/>
    <n v="46165.37"/>
    <n v="2297.8200000000002"/>
    <b v="0"/>
  </r>
  <r>
    <x v="87"/>
    <s v="Wasatch Center 53"/>
    <s v="Permits &amp; Fees"/>
    <n v="62053.66"/>
    <b v="0"/>
    <b v="0"/>
    <n v="5718.64"/>
    <n v="58844.78"/>
    <n v="3208.88"/>
    <b v="0"/>
  </r>
  <r>
    <x v="30"/>
    <s v="Canyon Lodge 55"/>
    <s v="General Conditions"/>
    <n v="101944"/>
    <b v="0"/>
    <b v="0"/>
    <n v="22151.759999999998"/>
    <n v="90966.01"/>
    <n v="10977.99"/>
    <b v="0"/>
  </r>
  <r>
    <x v="47"/>
    <s v="Wasatch Office 56"/>
    <s v="Materials"/>
    <n v="90572.6"/>
    <b v="0"/>
    <b v="0"/>
    <n v="1262.6300000000001"/>
    <n v="82904.31"/>
    <n v="7668.29"/>
    <b v="0"/>
  </r>
  <r>
    <x v="81"/>
    <s v="Canyon Retail 60"/>
    <s v="Materials"/>
    <n v="406698.5"/>
    <b v="0"/>
    <b v="0"/>
    <n v="35207.870000000003"/>
    <n v="384352.27"/>
    <n v="22346.23"/>
    <b v="0"/>
  </r>
  <r>
    <x v="38"/>
    <s v="Summit Center 61"/>
    <s v="Subcontractors"/>
    <n v="733812.92"/>
    <b v="0"/>
    <b v="0"/>
    <n v="56245.74"/>
    <n v="733224.55"/>
    <n v="588.37"/>
    <b v="0"/>
  </r>
  <r>
    <x v="48"/>
    <s v="Aspen Lodge 65"/>
    <s v="General Conditions"/>
    <n v="54288"/>
    <b v="0"/>
    <b v="0"/>
    <n v="13196.97"/>
    <n v="46080.55"/>
    <n v="8207.4500000000007"/>
    <b v="0"/>
  </r>
  <r>
    <x v="24"/>
    <s v="Aspen Lodge 68"/>
    <s v="Subcontractors"/>
    <n v="176776.08"/>
    <b v="0"/>
    <b v="0"/>
    <n v="8512.66"/>
    <n v="169946.87"/>
    <n v="6829.21"/>
    <b v="0"/>
  </r>
  <r>
    <x v="66"/>
    <s v="Bonneville Retail 69"/>
    <s v="Materials"/>
    <n v="161011.46"/>
    <b v="0"/>
    <b v="0"/>
    <n v="25776.91"/>
    <n v="142366.76999999999"/>
    <n v="18644.689999999999"/>
    <b v="0"/>
  </r>
  <r>
    <x v="18"/>
    <s v="Granite Center 76"/>
    <s v="Permits &amp; Fees"/>
    <n v="42846.81"/>
    <b v="0"/>
    <b v="0"/>
    <n v="4659.72"/>
    <n v="31863.64"/>
    <n v="10983.17"/>
    <b v="0"/>
  </r>
  <r>
    <x v="82"/>
    <s v="Canyon Center 79"/>
    <s v="Subcontractors"/>
    <n v="395808"/>
    <b v="0"/>
    <b v="0"/>
    <n v="98064.639999999999"/>
    <n v="266570.52"/>
    <n v="129237.48"/>
    <b v="0"/>
  </r>
  <r>
    <x v="75"/>
    <s v="Copper Center 86"/>
    <s v="Subcontractors"/>
    <n v="112532"/>
    <b v="0"/>
    <b v="0"/>
    <n v="0"/>
    <n v="69482.880000000005"/>
    <n v="43049.120000000003"/>
    <b v="0"/>
  </r>
  <r>
    <x v="89"/>
    <s v="Copper Center 88"/>
    <s v="Subcontractors"/>
    <n v="217846.56"/>
    <b v="0"/>
    <b v="0"/>
    <n v="0"/>
    <n v="172246.95"/>
    <n v="45599.61"/>
    <b v="0"/>
  </r>
  <r>
    <x v="40"/>
    <s v="Canyon Office 90"/>
    <s v="Subcontractors"/>
    <n v="252708.47"/>
    <b v="0"/>
    <b v="0"/>
    <n v="25374.52"/>
    <n v="202395.35"/>
    <n v="50313.120000000003"/>
    <b v="0"/>
  </r>
  <r>
    <x v="21"/>
    <s v="Granite Office 93"/>
    <s v="Equipment"/>
    <n v="122895"/>
    <b v="0"/>
    <b v="0"/>
    <n v="4740.46"/>
    <n v="88380.51"/>
    <n v="34514.49"/>
    <b v="0"/>
  </r>
  <r>
    <x v="21"/>
    <s v="Granite Office 93"/>
    <s v="General Conditions"/>
    <n v="172053"/>
    <b v="0"/>
    <b v="0"/>
    <n v="10404.09"/>
    <n v="125684.79"/>
    <n v="46368.21"/>
    <b v="0"/>
  </r>
  <r>
    <x v="51"/>
    <s v="Copper Commons 94"/>
    <s v="General Conditions"/>
    <n v="129686.56"/>
    <b v="0"/>
    <b v="0"/>
    <n v="11737.77"/>
    <n v="52931.53"/>
    <n v="76755.03"/>
    <b v="0"/>
  </r>
  <r>
    <x v="30"/>
    <s v="Canyon Lodge 55"/>
    <s v="Equipment"/>
    <n v="63715"/>
    <b v="0"/>
    <b v="0"/>
    <n v="4588.22"/>
    <n v="62249.79"/>
    <n v="1465.21"/>
    <b v="0"/>
  </r>
  <r>
    <x v="59"/>
    <s v="Juniper Commons 64"/>
    <s v="Permits &amp; Fees"/>
    <n v="53815.43"/>
    <b v="0"/>
    <b v="0"/>
    <n v="6319.38"/>
    <n v="48104.19"/>
    <n v="5711.24"/>
    <b v="0"/>
  </r>
  <r>
    <x v="48"/>
    <s v="Aspen Lodge 65"/>
    <s v="Equipment"/>
    <n v="33930"/>
    <b v="0"/>
    <b v="0"/>
    <n v="2429.67"/>
    <n v="32275.24"/>
    <n v="1654.76"/>
    <b v="0"/>
  </r>
  <r>
    <x v="51"/>
    <s v="Copper Commons 94"/>
    <s v="Equipment"/>
    <n v="74287.94"/>
    <b v="0"/>
    <b v="0"/>
    <n v="4404"/>
    <n v="30172.78"/>
    <n v="44115.16"/>
    <b v="0"/>
  </r>
  <r>
    <x v="1"/>
    <s v="Juniper Medical 04"/>
    <s v="Subcontractors"/>
    <n v="259083.23"/>
    <b v="0"/>
    <b v="0"/>
    <n v="44585.17"/>
    <n v="226534.08"/>
    <n v="32549.15"/>
    <b v="0"/>
  </r>
  <r>
    <x v="76"/>
    <s v="Summit Residences 05"/>
    <s v="Other"/>
    <n v="49494.69"/>
    <b v="0"/>
    <b v="0"/>
    <n v="10037.280000000001"/>
    <n v="43312.7"/>
    <n v="6181.99"/>
    <b v="0"/>
  </r>
  <r>
    <x v="3"/>
    <s v="Granite Residences 11"/>
    <s v="Subcontractors"/>
    <n v="257300"/>
    <b v="0"/>
    <b v="0"/>
    <n v="47909.5"/>
    <n v="240174.78"/>
    <n v="17125.22"/>
    <b v="0"/>
  </r>
  <r>
    <x v="4"/>
    <s v="Aspen Renovation 13"/>
    <s v="Subcontractors"/>
    <n v="687394"/>
    <b v="0"/>
    <b v="0"/>
    <n v="36979.93"/>
    <n v="665428.78"/>
    <n v="21965.22"/>
    <b v="0"/>
  </r>
  <r>
    <x v="62"/>
    <s v="Juniper Residences 15"/>
    <s v="General Conditions"/>
    <n v="94300.02"/>
    <b v="0"/>
    <b v="0"/>
    <n v="17063.14"/>
    <n v="86464.67"/>
    <n v="7835.35"/>
    <b v="0"/>
  </r>
  <r>
    <x v="43"/>
    <s v="Wasatch Commons 20"/>
    <s v="Equipment"/>
    <n v="29475.919999999998"/>
    <b v="0"/>
    <b v="0"/>
    <n v="0"/>
    <n v="30454.32"/>
    <n v="-978.4"/>
    <b v="0"/>
  </r>
  <r>
    <x v="91"/>
    <s v="Copper Center 21"/>
    <s v="Equipment"/>
    <n v="80305.399999999994"/>
    <b v="0"/>
    <b v="0"/>
    <n v="15463.99"/>
    <n v="74658.69"/>
    <n v="5646.71"/>
    <b v="0"/>
  </r>
  <r>
    <x v="91"/>
    <s v="Copper Center 21"/>
    <s v="General Conditions"/>
    <n v="139875.99"/>
    <b v="0"/>
    <b v="0"/>
    <n v="23151.78"/>
    <n v="132683.88"/>
    <n v="7192.11"/>
    <b v="0"/>
  </r>
  <r>
    <x v="44"/>
    <s v="Copper Office 28"/>
    <s v="Permits &amp; Fees"/>
    <n v="9193.7099999999991"/>
    <b v="0"/>
    <b v="0"/>
    <n v="696.3"/>
    <n v="8330.9599999999991"/>
    <n v="862.75"/>
    <b v="0"/>
  </r>
  <r>
    <x v="37"/>
    <s v="Aspen Office 35"/>
    <s v="General Conditions"/>
    <n v="83352"/>
    <b v="0"/>
    <b v="0"/>
    <n v="17361.71"/>
    <n v="67811.59"/>
    <n v="15540.41"/>
    <b v="0"/>
  </r>
  <r>
    <x v="45"/>
    <s v="Granite Medical 43"/>
    <s v="Permits &amp; Fees"/>
    <n v="36804.910000000003"/>
    <b v="0"/>
    <b v="0"/>
    <n v="1848.04"/>
    <n v="34379.379999999997"/>
    <n v="2425.5300000000002"/>
    <b v="0"/>
  </r>
  <r>
    <x v="86"/>
    <s v="Bonneville Office 45"/>
    <s v="Subcontractors"/>
    <n v="329280"/>
    <b v="0"/>
    <b v="0"/>
    <n v="0"/>
    <n v="298974.86"/>
    <n v="30305.14"/>
    <b v="0"/>
  </r>
  <r>
    <x v="69"/>
    <s v="Summit Medical 52"/>
    <s v="Subcontractors"/>
    <n v="336462.21"/>
    <b v="0"/>
    <b v="0"/>
    <n v="69078.460000000006"/>
    <n v="275775.51"/>
    <n v="60686.7"/>
    <b v="0"/>
  </r>
  <r>
    <x v="87"/>
    <s v="Wasatch Center 53"/>
    <s v="Materials"/>
    <n v="362818.48"/>
    <b v="0"/>
    <b v="0"/>
    <n v="42616.99"/>
    <n v="350613.36"/>
    <n v="12205.12"/>
    <b v="0"/>
  </r>
  <r>
    <x v="47"/>
    <s v="Wasatch Office 56"/>
    <s v="Permits &amp; Fees"/>
    <n v="14126.23"/>
    <b v="0"/>
    <b v="0"/>
    <n v="310.19"/>
    <n v="13376.74"/>
    <n v="749.49"/>
    <b v="0"/>
  </r>
  <r>
    <x v="81"/>
    <s v="Canyon Retail 60"/>
    <s v="Permits &amp; Fees"/>
    <n v="41443.97"/>
    <b v="0"/>
    <b v="0"/>
    <n v="3037.87"/>
    <n v="38590.86"/>
    <n v="2853.11"/>
    <b v="0"/>
  </r>
  <r>
    <x v="93"/>
    <s v="Granite Residences 62"/>
    <s v="Equipment"/>
    <n v="96848.22"/>
    <b v="0"/>
    <b v="0"/>
    <n v="0"/>
    <n v="103925.6"/>
    <n v="-7077.38"/>
    <b v="0"/>
  </r>
  <r>
    <x v="93"/>
    <s v="Granite Residences 62"/>
    <s v="General Conditions"/>
    <n v="168805.03"/>
    <b v="0"/>
    <b v="0"/>
    <n v="25383.31"/>
    <n v="170589.6"/>
    <n v="-1784.57"/>
    <b v="0"/>
  </r>
  <r>
    <x v="59"/>
    <s v="Juniper Commons 64"/>
    <s v="Materials"/>
    <n v="329686.90999999997"/>
    <b v="0"/>
    <b v="0"/>
    <n v="0"/>
    <n v="321240.90999999997"/>
    <n v="8446"/>
    <b v="0"/>
  </r>
  <r>
    <x v="18"/>
    <s v="Granite Center 76"/>
    <s v="Materials"/>
    <n v="267588.96999999997"/>
    <b v="0"/>
    <b v="0"/>
    <n v="13211.55"/>
    <n v="231448.59"/>
    <n v="36140.379999999997"/>
    <b v="0"/>
  </r>
  <r>
    <x v="82"/>
    <s v="Canyon Center 79"/>
    <s v="Other"/>
    <n v="38304"/>
    <b v="0"/>
    <b v="0"/>
    <n v="6667.13"/>
    <n v="30416.52"/>
    <n v="7887.48"/>
    <b v="0"/>
  </r>
  <r>
    <x v="62"/>
    <s v="Juniper Residences 15"/>
    <s v="Equipment"/>
    <n v="42318.21"/>
    <b v="0"/>
    <b v="0"/>
    <n v="2439.5300000000002"/>
    <n v="42339.42"/>
    <n v="-21.21"/>
    <b v="0"/>
  </r>
  <r>
    <x v="37"/>
    <s v="Aspen Office 35"/>
    <s v="Equipment"/>
    <n v="52095"/>
    <b v="0"/>
    <b v="0"/>
    <n v="5491.67"/>
    <n v="48165.49"/>
    <n v="3929.51"/>
    <b v="0"/>
  </r>
  <r>
    <x v="38"/>
    <s v="Summit Center 61"/>
    <s v="Other"/>
    <n v="47210.43"/>
    <b v="0"/>
    <b v="0"/>
    <n v="2666.47"/>
    <n v="41993.82"/>
    <n v="5216.6099999999997"/>
    <b v="0"/>
  </r>
  <r>
    <x v="24"/>
    <s v="Aspen Lodge 68"/>
    <s v="Other"/>
    <n v="25374.78"/>
    <b v="0"/>
    <b v="0"/>
    <n v="1228.1099999999999"/>
    <n v="22304.400000000001"/>
    <n v="3070.38"/>
    <b v="0"/>
  </r>
  <r>
    <x v="75"/>
    <s v="Copper Center 86"/>
    <s v="Other"/>
    <n v="12057"/>
    <b v="0"/>
    <b v="0"/>
    <n v="1091.93"/>
    <n v="5882.53"/>
    <n v="6174.47"/>
    <b v="0"/>
  </r>
  <r>
    <x v="89"/>
    <s v="Copper Center 88"/>
    <s v="Other"/>
    <n v="21059.89"/>
    <b v="0"/>
    <b v="0"/>
    <n v="806.95"/>
    <n v="16191.17"/>
    <n v="4868.72"/>
    <b v="0"/>
  </r>
  <r>
    <x v="40"/>
    <s v="Canyon Office 90"/>
    <s v="Other"/>
    <n v="27623.14"/>
    <b v="0"/>
    <b v="0"/>
    <n v="2830.23"/>
    <n v="21544.32"/>
    <n v="6078.82"/>
    <b v="0"/>
  </r>
  <r>
    <x v="43"/>
    <s v="Wasatch Commons 20"/>
    <s v="General Conditions"/>
    <n v="51376.2"/>
    <b v="0"/>
    <b v="0"/>
    <n v="4466.76"/>
    <n v="47575.37"/>
    <n v="3800.83"/>
    <b v="0"/>
  </r>
  <r>
    <x v="71"/>
    <s v="Aspen Retail 24"/>
    <s v="Subcontractors"/>
    <n v="333229.65999999997"/>
    <b v="0"/>
    <b v="0"/>
    <n v="13480.33"/>
    <n v="331922.3"/>
    <n v="1307.3599999999999"/>
    <b v="0"/>
  </r>
  <r>
    <x v="92"/>
    <s v="Bonneville Commons 36"/>
    <s v="Materials"/>
    <n v="510672"/>
    <b v="0"/>
    <b v="0"/>
    <n v="59816.42"/>
    <n v="468806.01"/>
    <n v="41865.99"/>
    <b v="0"/>
  </r>
  <r>
    <x v="54"/>
    <s v="Aspen Retail 51"/>
    <s v="Permits &amp; Fees"/>
    <n v="17128"/>
    <b v="0"/>
    <b v="0"/>
    <n v="0"/>
    <n v="16888.32"/>
    <n v="239.68"/>
    <b v="0"/>
  </r>
  <r>
    <x v="66"/>
    <s v="Bonneville Retail 69"/>
    <s v="Permits &amp; Fees"/>
    <n v="27848.22"/>
    <b v="0"/>
    <b v="0"/>
    <n v="743.22"/>
    <n v="27929.94"/>
    <n v="-81.72"/>
    <b v="0"/>
  </r>
  <r>
    <x v="96"/>
    <m/>
    <s v="Labor"/>
    <n v="42000"/>
    <b v="0"/>
    <b v="1"/>
    <n v="0"/>
    <n v="0"/>
    <n v="42000"/>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20146B-B438-4D04-B620-A5047FE4B9E0}" name="PivotTable1" cacheId="5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101" firstHeaderRow="0" firstDataRow="1" firstDataCol="1"/>
  <pivotFields count="10">
    <pivotField axis="axisRow" compact="0" outline="0" showAll="0">
      <items count="98">
        <item x="0"/>
        <item x="90"/>
        <item x="11"/>
        <item x="1"/>
        <item x="76"/>
        <item x="2"/>
        <item x="41"/>
        <item x="42"/>
        <item x="28"/>
        <item x="68"/>
        <item x="3"/>
        <item x="36"/>
        <item x="4"/>
        <item x="61"/>
        <item x="62"/>
        <item x="5"/>
        <item x="77"/>
        <item x="55"/>
        <item x="83"/>
        <item x="43"/>
        <item x="91"/>
        <item x="78"/>
        <item x="31"/>
        <item x="71"/>
        <item x="56"/>
        <item x="7"/>
        <item x="84"/>
        <item x="44"/>
        <item x="29"/>
        <item x="63"/>
        <item x="32"/>
        <item x="57"/>
        <item x="6"/>
        <item x="12"/>
        <item x="37"/>
        <item x="92"/>
        <item x="64"/>
        <item x="13"/>
        <item x="14"/>
        <item x="58"/>
        <item x="52"/>
        <item x="85"/>
        <item x="45"/>
        <item x="33"/>
        <item x="86"/>
        <item x="46"/>
        <item x="34"/>
        <item x="22"/>
        <item x="23"/>
        <item x="53"/>
        <item x="54"/>
        <item x="69"/>
        <item x="87"/>
        <item x="35"/>
        <item x="30"/>
        <item x="47"/>
        <item x="79"/>
        <item x="15"/>
        <item x="80"/>
        <item x="81"/>
        <item x="38"/>
        <item x="93"/>
        <item x="16"/>
        <item x="59"/>
        <item x="48"/>
        <item x="17"/>
        <item x="65"/>
        <item x="24"/>
        <item x="66"/>
        <item x="72"/>
        <item x="39"/>
        <item x="73"/>
        <item x="74"/>
        <item x="25"/>
        <item x="49"/>
        <item x="18"/>
        <item x="8"/>
        <item x="19"/>
        <item x="82"/>
        <item x="50"/>
        <item x="94"/>
        <item x="95"/>
        <item x="9"/>
        <item x="26"/>
        <item x="88"/>
        <item x="75"/>
        <item x="27"/>
        <item x="89"/>
        <item x="70"/>
        <item x="40"/>
        <item x="20"/>
        <item x="60"/>
        <item x="21"/>
        <item x="51"/>
        <item x="10"/>
        <item x="67"/>
        <item x="96"/>
        <item t="default"/>
      </items>
    </pivotField>
    <pivotField compact="0" outline="0" showAll="0"/>
    <pivotField compact="0" outline="0" showAll="0"/>
    <pivotField dataField="1" compact="0" numFmtId="43" outline="0" showAll="0"/>
    <pivotField compact="0" outline="0" showAll="0"/>
    <pivotField compact="0" outline="0" showAll="0"/>
    <pivotField dataField="1" compact="0" numFmtId="43" outline="0" showAll="0"/>
    <pivotField dataField="1" compact="0" numFmtId="43" outline="0" showAll="0"/>
    <pivotField dataField="1" compact="0" numFmtId="43" outline="0" showAll="0"/>
    <pivotField compact="0" outline="0" showAll="0"/>
  </pivotFields>
  <rowFields count="1">
    <field x="0"/>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Fields count="1">
    <field x="-2"/>
  </colFields>
  <colItems count="4">
    <i>
      <x/>
    </i>
    <i i="1">
      <x v="1"/>
    </i>
    <i i="2">
      <x v="2"/>
    </i>
    <i i="3">
      <x v="3"/>
    </i>
  </colItems>
  <dataFields count="4">
    <dataField name="Sum of revised_budget" fld="3" baseField="0" baseItem="0" numFmtId="43"/>
    <dataField name="Sum of incurred_cost" fld="7" baseField="0" baseItem="0" numFmtId="43"/>
    <dataField name="Sum of pending_exposure" fld="6" baseField="0" baseItem="0" numFmtId="43"/>
    <dataField name="Sum of budget_remaining" fld="8" baseField="0" baseItem="0" numFmtId="43"/>
  </dataFields>
  <formats count="2">
    <format dxfId="1">
      <pivotArea outline="0" collapsedLevelsAreSubtotals="1" fieldPosition="0"/>
    </format>
    <format dxfId="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A0565B-DFE6-4BFF-A314-07EA9F8334F3}" name="Table1" displayName="Table1" ref="A1:J674" totalsRowShown="0">
  <autoFilter ref="A1:J674" xr:uid="{E9A0565B-DFE6-4BFF-A314-07EA9F8334F3}"/>
  <sortState xmlns:xlrd2="http://schemas.microsoft.com/office/spreadsheetml/2017/richdata2" ref="A2:J674">
    <sortCondition ref="A1:A674"/>
  </sortState>
  <tableColumns count="10">
    <tableColumn id="1" xr3:uid="{589DC022-3682-4727-A3B6-9410CC5D6EDD}" name="project_id"/>
    <tableColumn id="2" xr3:uid="{39D2B7A9-0436-430B-92FB-B09AD23C1FC2}" name="project_name"/>
    <tableColumn id="3" xr3:uid="{B7058F1F-4256-4811-866A-0E69ED2A6227}" name="cost_category"/>
    <tableColumn id="4" xr3:uid="{4DE64D62-C87B-44D5-9986-18E48DDC4EEA}" name="revised_budget"/>
    <tableColumn id="5" xr3:uid="{A112EF2B-73F9-4F72-A518-DACFC66A1BCF}" name="original_budget_missing_flag"/>
    <tableColumn id="6" xr3:uid="{5F1CC64F-805E-4948-B798-78D7A1FB8D96}" name="orphan_project_flag"/>
    <tableColumn id="7" xr3:uid="{7F73CFF8-321F-4FDA-B2AE-84BF81853A29}" name="pending_exposure"/>
    <tableColumn id="8" xr3:uid="{7D28413D-0EBF-46F3-B86D-B0D20842D9CC}" name="incurred_cost"/>
    <tableColumn id="9" xr3:uid="{FE315FD3-316B-4431-A8AD-A3DBA20EB7E4}" name="budget_remaining"/>
    <tableColumn id="10" xr3:uid="{3447EC82-4C45-4EA8-A29F-C4C4F94C331B}" name="no_matching_transactions_flag"/>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F5101-77A3-4967-9CD0-EDDA32294777}">
  <dimension ref="A1:L674"/>
  <sheetViews>
    <sheetView tabSelected="1" workbookViewId="0">
      <selection activeCell="N16" sqref="N16"/>
    </sheetView>
  </sheetViews>
  <sheetFormatPr defaultRowHeight="15"/>
  <cols>
    <col min="1" max="1" width="12.5703125" bestFit="1" customWidth="1"/>
    <col min="2" max="2" width="23.7109375" bestFit="1" customWidth="1"/>
    <col min="3" max="3" width="18.140625" bestFit="1" customWidth="1"/>
    <col min="4" max="4" width="17.42578125" style="3" bestFit="1" customWidth="1"/>
    <col min="5" max="5" width="30.140625" bestFit="1" customWidth="1"/>
    <col min="6" max="6" width="21.85546875" bestFit="1" customWidth="1"/>
    <col min="7" max="7" width="20.140625" style="3" bestFit="1" customWidth="1"/>
    <col min="8" max="8" width="15.7109375" style="3" bestFit="1" customWidth="1"/>
    <col min="9" max="9" width="20.140625" style="3" bestFit="1" customWidth="1"/>
    <col min="10" max="10" width="30.7109375" bestFit="1" customWidth="1"/>
    <col min="11" max="11" width="16.85546875" bestFit="1" customWidth="1"/>
    <col min="12" max="12" width="21" bestFit="1" customWidth="1"/>
  </cols>
  <sheetData>
    <row r="1" spans="1:12">
      <c r="A1" t="s">
        <v>0</v>
      </c>
      <c r="B1" t="s">
        <v>1</v>
      </c>
      <c r="C1" t="s">
        <v>2</v>
      </c>
      <c r="D1" s="3" t="s">
        <v>3</v>
      </c>
      <c r="E1" t="s">
        <v>4</v>
      </c>
      <c r="F1" t="s">
        <v>5</v>
      </c>
      <c r="G1" s="3" t="s">
        <v>6</v>
      </c>
      <c r="H1" s="3" t="s">
        <v>7</v>
      </c>
      <c r="I1" s="3" t="s">
        <v>8</v>
      </c>
      <c r="J1" t="s">
        <v>9</v>
      </c>
      <c r="L1" t="s">
        <v>10</v>
      </c>
    </row>
    <row r="2" spans="1:12">
      <c r="A2" s="8" t="s">
        <v>11</v>
      </c>
      <c r="B2" s="8" t="s">
        <v>12</v>
      </c>
      <c r="C2" s="8" t="s">
        <v>13</v>
      </c>
      <c r="D2" s="8">
        <v>357667.87</v>
      </c>
      <c r="E2" s="8" t="b">
        <v>0</v>
      </c>
      <c r="F2" s="8" t="b">
        <v>0</v>
      </c>
      <c r="G2" s="8">
        <v>0</v>
      </c>
      <c r="H2" s="8">
        <v>380205.32</v>
      </c>
      <c r="I2" s="8">
        <v>-22537.45</v>
      </c>
      <c r="J2" s="8" t="b">
        <v>0</v>
      </c>
      <c r="K2" t="s">
        <v>14</v>
      </c>
      <c r="L2" s="1">
        <f>SUM(D2:D674)</f>
        <v>119564833.67000011</v>
      </c>
    </row>
    <row r="3" spans="1:12">
      <c r="A3" s="8" t="s">
        <v>15</v>
      </c>
      <c r="B3" s="8" t="s">
        <v>16</v>
      </c>
      <c r="C3" s="8" t="s">
        <v>13</v>
      </c>
      <c r="D3" s="8">
        <v>251511.7</v>
      </c>
      <c r="E3" s="8" t="b">
        <v>0</v>
      </c>
      <c r="F3" s="8" t="b">
        <v>0</v>
      </c>
      <c r="G3" s="8">
        <v>0</v>
      </c>
      <c r="H3" s="8">
        <v>253196.12</v>
      </c>
      <c r="I3" s="8">
        <v>-1684.42</v>
      </c>
      <c r="J3" s="8" t="b">
        <v>0</v>
      </c>
      <c r="K3" t="s">
        <v>17</v>
      </c>
      <c r="L3">
        <f>SUM(G2:G674)</f>
        <v>7961647.6000000034</v>
      </c>
    </row>
    <row r="4" spans="1:12">
      <c r="A4" s="8" t="s">
        <v>18</v>
      </c>
      <c r="B4" s="8" t="s">
        <v>19</v>
      </c>
      <c r="C4" s="8" t="s">
        <v>13</v>
      </c>
      <c r="D4" s="8">
        <v>321425</v>
      </c>
      <c r="E4" s="8" t="b">
        <v>0</v>
      </c>
      <c r="F4" s="8" t="b">
        <v>0</v>
      </c>
      <c r="G4" s="8">
        <v>0</v>
      </c>
      <c r="H4" s="8">
        <v>342577.2</v>
      </c>
      <c r="I4" s="8">
        <v>-21152.2</v>
      </c>
      <c r="J4" s="8" t="b">
        <v>0</v>
      </c>
      <c r="K4" t="s">
        <v>20</v>
      </c>
      <c r="L4">
        <f>SUM(H2:H674)</f>
        <v>111386073.68999995</v>
      </c>
    </row>
    <row r="5" spans="1:12">
      <c r="A5" s="8" t="s">
        <v>21</v>
      </c>
      <c r="B5" s="8" t="s">
        <v>22</v>
      </c>
      <c r="C5" s="8" t="s">
        <v>13</v>
      </c>
      <c r="D5" s="8">
        <v>207500</v>
      </c>
      <c r="E5" s="8" t="b">
        <v>0</v>
      </c>
      <c r="F5" s="8" t="b">
        <v>0</v>
      </c>
      <c r="G5" s="8">
        <v>0</v>
      </c>
      <c r="H5" s="8">
        <v>228514.24</v>
      </c>
      <c r="I5" s="8">
        <v>-21014.240000000002</v>
      </c>
      <c r="J5" s="8" t="b">
        <v>0</v>
      </c>
    </row>
    <row r="6" spans="1:12">
      <c r="A6" s="8" t="s">
        <v>23</v>
      </c>
      <c r="B6" s="8" t="s">
        <v>24</v>
      </c>
      <c r="C6" s="8" t="s">
        <v>13</v>
      </c>
      <c r="D6" s="8">
        <v>487828</v>
      </c>
      <c r="E6" s="8" t="b">
        <v>0</v>
      </c>
      <c r="F6" s="8" t="b">
        <v>0</v>
      </c>
      <c r="G6" s="8">
        <v>0</v>
      </c>
      <c r="H6" s="8">
        <v>548428.71</v>
      </c>
      <c r="I6" s="8">
        <v>-60600.71</v>
      </c>
      <c r="J6" s="8" t="b">
        <v>0</v>
      </c>
    </row>
    <row r="7" spans="1:12">
      <c r="A7" s="8" t="s">
        <v>25</v>
      </c>
      <c r="B7" s="8" t="s">
        <v>26</v>
      </c>
      <c r="C7" s="8" t="s">
        <v>13</v>
      </c>
      <c r="D7" s="8">
        <v>115179.12</v>
      </c>
      <c r="E7" s="8" t="b">
        <v>0</v>
      </c>
      <c r="F7" s="8" t="b">
        <v>0</v>
      </c>
      <c r="G7" s="8">
        <v>0</v>
      </c>
      <c r="H7" s="8">
        <v>128738.07</v>
      </c>
      <c r="I7" s="8">
        <v>-13558.95</v>
      </c>
      <c r="J7" s="8" t="b">
        <v>0</v>
      </c>
    </row>
    <row r="8" spans="1:12">
      <c r="A8" s="8" t="s">
        <v>27</v>
      </c>
      <c r="B8" s="8" t="s">
        <v>28</v>
      </c>
      <c r="C8" s="8" t="s">
        <v>13</v>
      </c>
      <c r="D8" s="8">
        <v>229635</v>
      </c>
      <c r="E8" s="8" t="b">
        <v>0</v>
      </c>
      <c r="F8" s="8" t="b">
        <v>0</v>
      </c>
      <c r="G8" s="8">
        <v>0</v>
      </c>
      <c r="H8" s="8">
        <v>226768.31</v>
      </c>
      <c r="I8" s="8">
        <v>2866.69</v>
      </c>
      <c r="J8" s="8" t="b">
        <v>0</v>
      </c>
    </row>
    <row r="9" spans="1:12">
      <c r="A9" s="8" t="s">
        <v>29</v>
      </c>
      <c r="B9" s="8" t="s">
        <v>30</v>
      </c>
      <c r="C9" s="8" t="s">
        <v>13</v>
      </c>
      <c r="D9" s="8">
        <v>794870.57</v>
      </c>
      <c r="E9" s="8" t="b">
        <v>0</v>
      </c>
      <c r="F9" s="8" t="b">
        <v>0</v>
      </c>
      <c r="G9" s="8">
        <v>0</v>
      </c>
      <c r="H9" s="8">
        <v>848008.95</v>
      </c>
      <c r="I9" s="8">
        <v>-53138.38</v>
      </c>
      <c r="J9" s="8" t="b">
        <v>0</v>
      </c>
    </row>
    <row r="10" spans="1:12">
      <c r="A10" s="8" t="s">
        <v>31</v>
      </c>
      <c r="B10" s="8" t="s">
        <v>32</v>
      </c>
      <c r="C10" s="8" t="s">
        <v>13</v>
      </c>
      <c r="D10" s="8">
        <v>223530.3</v>
      </c>
      <c r="E10" s="8" t="b">
        <v>0</v>
      </c>
      <c r="F10" s="8" t="b">
        <v>0</v>
      </c>
      <c r="G10" s="8">
        <v>0</v>
      </c>
      <c r="H10" s="8">
        <v>194001.95</v>
      </c>
      <c r="I10" s="8">
        <v>29528.35</v>
      </c>
      <c r="J10" s="8" t="b">
        <v>0</v>
      </c>
    </row>
    <row r="11" spans="1:12">
      <c r="A11" s="8" t="s">
        <v>33</v>
      </c>
      <c r="B11" s="8" t="s">
        <v>34</v>
      </c>
      <c r="C11" s="8" t="s">
        <v>13</v>
      </c>
      <c r="D11" s="8">
        <v>278750</v>
      </c>
      <c r="E11" s="8" t="b">
        <v>0</v>
      </c>
      <c r="F11" s="8" t="b">
        <v>0</v>
      </c>
      <c r="G11" s="8">
        <v>0</v>
      </c>
      <c r="H11" s="8">
        <v>281055.45</v>
      </c>
      <c r="I11" s="8">
        <v>-2305.4499999999998</v>
      </c>
      <c r="J11" s="8" t="b">
        <v>0</v>
      </c>
    </row>
    <row r="12" spans="1:12">
      <c r="A12" s="8" t="s">
        <v>35</v>
      </c>
      <c r="B12" s="8" t="s">
        <v>36</v>
      </c>
      <c r="C12" s="8" t="s">
        <v>13</v>
      </c>
      <c r="D12" s="8">
        <v>143100</v>
      </c>
      <c r="E12" s="8" t="b">
        <v>0</v>
      </c>
      <c r="F12" s="8" t="b">
        <v>0</v>
      </c>
      <c r="G12" s="8">
        <v>0</v>
      </c>
      <c r="H12" s="8">
        <v>115982.45</v>
      </c>
      <c r="I12" s="8">
        <v>27117.55</v>
      </c>
      <c r="J12" s="8" t="b">
        <v>0</v>
      </c>
    </row>
    <row r="13" spans="1:12">
      <c r="A13" s="8" t="s">
        <v>37</v>
      </c>
      <c r="B13" s="8" t="s">
        <v>38</v>
      </c>
      <c r="C13" s="8" t="s">
        <v>13</v>
      </c>
      <c r="D13" s="8">
        <v>335861.72</v>
      </c>
      <c r="E13" s="8" t="b">
        <v>0</v>
      </c>
      <c r="F13" s="8" t="b">
        <v>0</v>
      </c>
      <c r="G13" s="8">
        <v>0</v>
      </c>
      <c r="H13" s="8">
        <v>322068.21999999997</v>
      </c>
      <c r="I13" s="8">
        <v>13793.5</v>
      </c>
      <c r="J13" s="8" t="b">
        <v>0</v>
      </c>
    </row>
    <row r="14" spans="1:12">
      <c r="A14" s="8" t="s">
        <v>39</v>
      </c>
      <c r="B14" s="8" t="s">
        <v>40</v>
      </c>
      <c r="C14" s="8" t="s">
        <v>13</v>
      </c>
      <c r="D14" s="8">
        <v>134350</v>
      </c>
      <c r="E14" s="8" t="b">
        <v>0</v>
      </c>
      <c r="F14" s="8" t="b">
        <v>0</v>
      </c>
      <c r="G14" s="8">
        <v>0</v>
      </c>
      <c r="H14" s="8">
        <v>145925.14000000001</v>
      </c>
      <c r="I14" s="8">
        <v>-11575.14</v>
      </c>
      <c r="J14" s="8" t="b">
        <v>0</v>
      </c>
    </row>
    <row r="15" spans="1:12">
      <c r="A15" s="8" t="s">
        <v>41</v>
      </c>
      <c r="B15" s="8" t="s">
        <v>42</v>
      </c>
      <c r="C15" s="8" t="s">
        <v>13</v>
      </c>
      <c r="D15" s="8">
        <v>173804.56</v>
      </c>
      <c r="E15" s="8" t="b">
        <v>0</v>
      </c>
      <c r="F15" s="8" t="b">
        <v>0</v>
      </c>
      <c r="G15" s="8">
        <v>0</v>
      </c>
      <c r="H15" s="8">
        <v>196563.94</v>
      </c>
      <c r="I15" s="8">
        <v>-22759.38</v>
      </c>
      <c r="J15" s="8" t="b">
        <v>0</v>
      </c>
    </row>
    <row r="16" spans="1:12">
      <c r="A16" s="8" t="s">
        <v>43</v>
      </c>
      <c r="B16" s="8" t="s">
        <v>44</v>
      </c>
      <c r="C16" s="8" t="s">
        <v>13</v>
      </c>
      <c r="D16" s="8">
        <v>156843</v>
      </c>
      <c r="E16" s="8" t="b">
        <v>0</v>
      </c>
      <c r="F16" s="8" t="b">
        <v>0</v>
      </c>
      <c r="G16" s="8">
        <v>0</v>
      </c>
      <c r="H16" s="8">
        <v>168591.27</v>
      </c>
      <c r="I16" s="8">
        <v>-11748.27</v>
      </c>
      <c r="J16" s="8" t="b">
        <v>0</v>
      </c>
    </row>
    <row r="17" spans="1:12">
      <c r="A17" s="8" t="s">
        <v>45</v>
      </c>
      <c r="B17" s="8" t="s">
        <v>46</v>
      </c>
      <c r="C17" s="8" t="s">
        <v>13</v>
      </c>
      <c r="D17" s="8">
        <v>106947</v>
      </c>
      <c r="E17" s="8" t="b">
        <v>0</v>
      </c>
      <c r="F17" s="8" t="b">
        <v>0</v>
      </c>
      <c r="G17" s="8">
        <v>0</v>
      </c>
      <c r="H17" s="8">
        <v>111290.41</v>
      </c>
      <c r="I17" s="8">
        <v>-4343.41</v>
      </c>
      <c r="J17" s="8" t="b">
        <v>0</v>
      </c>
    </row>
    <row r="18" spans="1:12">
      <c r="A18" s="8" t="s">
        <v>47</v>
      </c>
      <c r="B18" s="8" t="s">
        <v>48</v>
      </c>
      <c r="C18" s="8" t="s">
        <v>13</v>
      </c>
      <c r="D18" s="8">
        <v>291896.73</v>
      </c>
      <c r="E18" s="8" t="b">
        <v>0</v>
      </c>
      <c r="F18" s="8" t="b">
        <v>0</v>
      </c>
      <c r="G18" s="8">
        <v>0</v>
      </c>
      <c r="H18" s="8">
        <v>320948.21000000002</v>
      </c>
      <c r="I18" s="8">
        <v>-29051.48</v>
      </c>
      <c r="J18" s="8" t="b">
        <v>0</v>
      </c>
    </row>
    <row r="19" spans="1:12">
      <c r="A19" s="8" t="s">
        <v>49</v>
      </c>
      <c r="B19" s="8" t="s">
        <v>50</v>
      </c>
      <c r="C19" s="8" t="s">
        <v>13</v>
      </c>
      <c r="D19" s="8">
        <v>161220.41</v>
      </c>
      <c r="E19" s="8" t="b">
        <v>0</v>
      </c>
      <c r="F19" s="8" t="b">
        <v>0</v>
      </c>
      <c r="G19" s="8">
        <v>0</v>
      </c>
      <c r="H19" s="8">
        <v>152467.82999999999</v>
      </c>
      <c r="I19" s="8">
        <v>8752.58</v>
      </c>
      <c r="J19" s="8" t="b">
        <v>0</v>
      </c>
    </row>
    <row r="20" spans="1:12">
      <c r="A20" s="8" t="s">
        <v>51</v>
      </c>
      <c r="B20" s="8" t="s">
        <v>52</v>
      </c>
      <c r="C20" s="8" t="s">
        <v>13</v>
      </c>
      <c r="D20" s="8">
        <v>276461.75</v>
      </c>
      <c r="E20" s="8" t="b">
        <v>0</v>
      </c>
      <c r="F20" s="8" t="b">
        <v>0</v>
      </c>
      <c r="G20" s="8">
        <v>0</v>
      </c>
      <c r="H20" s="8">
        <v>259387.36</v>
      </c>
      <c r="I20" s="8">
        <v>17074.39</v>
      </c>
      <c r="J20" s="8" t="b">
        <v>0</v>
      </c>
    </row>
    <row r="21" spans="1:12">
      <c r="A21" s="8" t="s">
        <v>53</v>
      </c>
      <c r="B21" s="8" t="s">
        <v>54</v>
      </c>
      <c r="C21" s="8" t="s">
        <v>13</v>
      </c>
      <c r="D21" s="8">
        <v>324461.84000000003</v>
      </c>
      <c r="E21" s="8" t="b">
        <v>0</v>
      </c>
      <c r="F21" s="8" t="b">
        <v>0</v>
      </c>
      <c r="G21" s="8">
        <v>0</v>
      </c>
      <c r="H21" s="8">
        <v>288783.63</v>
      </c>
      <c r="I21" s="8">
        <v>35678.21</v>
      </c>
      <c r="J21" s="8" t="b">
        <v>0</v>
      </c>
    </row>
    <row r="22" spans="1:12">
      <c r="A22" s="8" t="s">
        <v>55</v>
      </c>
      <c r="B22" s="8" t="s">
        <v>56</v>
      </c>
      <c r="C22" s="8" t="s">
        <v>13</v>
      </c>
      <c r="D22" s="8">
        <v>466769.42</v>
      </c>
      <c r="E22" s="8" t="b">
        <v>0</v>
      </c>
      <c r="F22" s="8" t="b">
        <v>0</v>
      </c>
      <c r="G22" s="8">
        <v>0</v>
      </c>
      <c r="H22" s="8">
        <v>443188.51</v>
      </c>
      <c r="I22" s="8">
        <v>23580.91</v>
      </c>
      <c r="J22" s="8" t="b">
        <v>0</v>
      </c>
    </row>
    <row r="23" spans="1:12">
      <c r="A23" s="8" t="s">
        <v>57</v>
      </c>
      <c r="B23" s="8" t="s">
        <v>58</v>
      </c>
      <c r="C23" s="8" t="s">
        <v>13</v>
      </c>
      <c r="D23" s="8">
        <v>639054</v>
      </c>
      <c r="E23" s="8" t="b">
        <v>0</v>
      </c>
      <c r="F23" s="8" t="b">
        <v>0</v>
      </c>
      <c r="G23" s="8">
        <v>0</v>
      </c>
      <c r="H23" s="8">
        <v>493959.88</v>
      </c>
      <c r="I23" s="8">
        <v>145094.12</v>
      </c>
      <c r="J23" s="8" t="b">
        <v>0</v>
      </c>
    </row>
    <row r="24" spans="1:12">
      <c r="A24" s="8" t="s">
        <v>59</v>
      </c>
      <c r="B24" s="8" t="s">
        <v>60</v>
      </c>
      <c r="C24" s="8" t="s">
        <v>13</v>
      </c>
      <c r="D24" s="8">
        <v>141958.70000000001</v>
      </c>
      <c r="E24" s="8" t="b">
        <v>0</v>
      </c>
      <c r="F24" s="8" t="b">
        <v>0</v>
      </c>
      <c r="G24" s="8">
        <v>0</v>
      </c>
      <c r="H24" s="8">
        <v>153477.31</v>
      </c>
      <c r="I24" s="8">
        <v>-11518.61</v>
      </c>
      <c r="J24" s="8" t="b">
        <v>0</v>
      </c>
    </row>
    <row r="25" spans="1:12">
      <c r="A25" s="8" t="s">
        <v>61</v>
      </c>
      <c r="B25" s="8" t="s">
        <v>62</v>
      </c>
      <c r="C25" s="8" t="s">
        <v>13</v>
      </c>
      <c r="D25" s="8">
        <v>258379.56</v>
      </c>
      <c r="E25" s="8" t="b">
        <v>0</v>
      </c>
      <c r="F25" s="8" t="b">
        <v>0</v>
      </c>
      <c r="G25" s="8">
        <v>0</v>
      </c>
      <c r="H25" s="8">
        <v>300859.37</v>
      </c>
      <c r="I25" s="8">
        <v>-42479.81</v>
      </c>
      <c r="J25" s="8" t="b">
        <v>0</v>
      </c>
    </row>
    <row r="26" spans="1:12">
      <c r="A26" s="8" t="s">
        <v>63</v>
      </c>
      <c r="B26" s="8" t="s">
        <v>64</v>
      </c>
      <c r="C26" s="8" t="s">
        <v>13</v>
      </c>
      <c r="D26" s="8">
        <v>266846.86</v>
      </c>
      <c r="E26" s="8" t="b">
        <v>0</v>
      </c>
      <c r="F26" s="8" t="b">
        <v>0</v>
      </c>
      <c r="G26" s="8">
        <v>0</v>
      </c>
      <c r="H26" s="8">
        <v>281462.42</v>
      </c>
      <c r="I26" s="8">
        <v>-14615.56</v>
      </c>
      <c r="J26" s="8" t="b">
        <v>0</v>
      </c>
    </row>
    <row r="27" spans="1:12">
      <c r="A27" s="8" t="s">
        <v>65</v>
      </c>
      <c r="B27" s="8" t="s">
        <v>66</v>
      </c>
      <c r="C27" s="8" t="s">
        <v>13</v>
      </c>
      <c r="D27" s="8">
        <v>324875</v>
      </c>
      <c r="E27" s="8" t="b">
        <v>0</v>
      </c>
      <c r="F27" s="8" t="b">
        <v>0</v>
      </c>
      <c r="G27" s="8">
        <v>0</v>
      </c>
      <c r="H27" s="8">
        <v>341953.24</v>
      </c>
      <c r="I27" s="8">
        <v>-17078.240000000002</v>
      </c>
      <c r="J27" s="8" t="b">
        <v>0</v>
      </c>
    </row>
    <row r="28" spans="1:12">
      <c r="A28" s="8" t="s">
        <v>67</v>
      </c>
      <c r="B28" s="8" t="s">
        <v>68</v>
      </c>
      <c r="C28" s="8" t="s">
        <v>13</v>
      </c>
      <c r="D28" s="8">
        <v>238550</v>
      </c>
      <c r="E28" s="8" t="b">
        <v>0</v>
      </c>
      <c r="F28" s="8" t="b">
        <v>0</v>
      </c>
      <c r="G28" s="8">
        <v>0</v>
      </c>
      <c r="H28" s="8">
        <v>203749.14</v>
      </c>
      <c r="I28" s="8">
        <v>34800.86</v>
      </c>
      <c r="J28" s="8" t="b">
        <v>0</v>
      </c>
      <c r="L28" s="2"/>
    </row>
    <row r="29" spans="1:12">
      <c r="A29" s="8" t="s">
        <v>69</v>
      </c>
      <c r="B29" s="8" t="s">
        <v>70</v>
      </c>
      <c r="C29" s="8" t="s">
        <v>13</v>
      </c>
      <c r="D29" s="8">
        <v>609458.16</v>
      </c>
      <c r="E29" s="8" t="b">
        <v>0</v>
      </c>
      <c r="F29" s="8" t="b">
        <v>0</v>
      </c>
      <c r="G29" s="8">
        <v>0</v>
      </c>
      <c r="H29" s="8">
        <v>275097.01</v>
      </c>
      <c r="I29" s="8">
        <v>334361.15000000002</v>
      </c>
      <c r="J29" s="8" t="b">
        <v>0</v>
      </c>
    </row>
    <row r="30" spans="1:12">
      <c r="A30" s="8" t="s">
        <v>71</v>
      </c>
      <c r="B30" s="8" t="s">
        <v>72</v>
      </c>
      <c r="C30" s="8" t="s">
        <v>13</v>
      </c>
      <c r="D30" s="8">
        <v>149472</v>
      </c>
      <c r="E30" s="8" t="b">
        <v>0</v>
      </c>
      <c r="F30" s="8" t="b">
        <v>0</v>
      </c>
      <c r="G30" s="8">
        <v>0</v>
      </c>
      <c r="H30" s="8">
        <v>167957.95</v>
      </c>
      <c r="I30" s="8">
        <v>-18485.95</v>
      </c>
      <c r="J30" s="8" t="b">
        <v>0</v>
      </c>
    </row>
    <row r="31" spans="1:12">
      <c r="A31" s="8" t="s">
        <v>73</v>
      </c>
      <c r="B31" s="8" t="s">
        <v>74</v>
      </c>
      <c r="C31" s="8" t="s">
        <v>13</v>
      </c>
      <c r="D31" s="8">
        <v>183657.74</v>
      </c>
      <c r="E31" s="8" t="b">
        <v>0</v>
      </c>
      <c r="F31" s="8" t="b">
        <v>0</v>
      </c>
      <c r="G31" s="8">
        <v>0</v>
      </c>
      <c r="H31" s="8">
        <v>201506.88</v>
      </c>
      <c r="I31" s="8">
        <v>-17849.14</v>
      </c>
      <c r="J31" s="8" t="b">
        <v>0</v>
      </c>
    </row>
    <row r="32" spans="1:12">
      <c r="A32" s="8" t="s">
        <v>75</v>
      </c>
      <c r="B32" s="8" t="s">
        <v>76</v>
      </c>
      <c r="C32" s="8" t="s">
        <v>13</v>
      </c>
      <c r="D32" s="8">
        <v>318575</v>
      </c>
      <c r="E32" s="8" t="b">
        <v>0</v>
      </c>
      <c r="F32" s="8" t="b">
        <v>0</v>
      </c>
      <c r="G32" s="8">
        <v>0</v>
      </c>
      <c r="H32" s="8">
        <v>385435.06</v>
      </c>
      <c r="I32" s="8">
        <v>-66860.06</v>
      </c>
      <c r="J32" s="8" t="b">
        <v>0</v>
      </c>
    </row>
    <row r="33" spans="1:10">
      <c r="A33" s="8" t="s">
        <v>77</v>
      </c>
      <c r="B33" s="8" t="s">
        <v>78</v>
      </c>
      <c r="C33" s="8" t="s">
        <v>13</v>
      </c>
      <c r="D33" s="8">
        <v>663702</v>
      </c>
      <c r="E33" s="8" t="b">
        <v>0</v>
      </c>
      <c r="F33" s="8" t="b">
        <v>0</v>
      </c>
      <c r="G33" s="8">
        <v>0</v>
      </c>
      <c r="H33" s="8">
        <v>747948.32</v>
      </c>
      <c r="I33" s="8">
        <v>-84246.32</v>
      </c>
      <c r="J33" s="8" t="b">
        <v>0</v>
      </c>
    </row>
    <row r="34" spans="1:10">
      <c r="A34" s="8" t="s">
        <v>79</v>
      </c>
      <c r="B34" s="8" t="s">
        <v>80</v>
      </c>
      <c r="C34" s="8" t="s">
        <v>13</v>
      </c>
      <c r="D34" s="8">
        <v>132750</v>
      </c>
      <c r="E34" s="8" t="b">
        <v>0</v>
      </c>
      <c r="F34" s="8" t="b">
        <v>0</v>
      </c>
      <c r="G34" s="8">
        <v>0</v>
      </c>
      <c r="H34" s="8">
        <v>147458.69</v>
      </c>
      <c r="I34" s="8">
        <v>-14708.69</v>
      </c>
      <c r="J34" s="8" t="b">
        <v>0</v>
      </c>
    </row>
    <row r="35" spans="1:10">
      <c r="A35" s="8" t="s">
        <v>81</v>
      </c>
      <c r="B35" s="8" t="s">
        <v>82</v>
      </c>
      <c r="C35" s="8" t="s">
        <v>13</v>
      </c>
      <c r="D35" s="8">
        <v>124308</v>
      </c>
      <c r="E35" s="8" t="b">
        <v>0</v>
      </c>
      <c r="F35" s="8" t="b">
        <v>0</v>
      </c>
      <c r="G35" s="8">
        <v>0</v>
      </c>
      <c r="H35" s="8">
        <v>135948.64000000001</v>
      </c>
      <c r="I35" s="8">
        <v>-11640.64</v>
      </c>
      <c r="J35" s="8" t="b">
        <v>0</v>
      </c>
    </row>
    <row r="36" spans="1:10">
      <c r="A36" s="8" t="s">
        <v>83</v>
      </c>
      <c r="B36" s="8" t="s">
        <v>84</v>
      </c>
      <c r="C36" s="8" t="s">
        <v>13</v>
      </c>
      <c r="D36" s="8">
        <v>497508</v>
      </c>
      <c r="E36" s="8" t="b">
        <v>0</v>
      </c>
      <c r="F36" s="8" t="b">
        <v>0</v>
      </c>
      <c r="G36" s="8">
        <v>0</v>
      </c>
      <c r="H36" s="8">
        <v>518249.32</v>
      </c>
      <c r="I36" s="8">
        <v>-20741.32</v>
      </c>
      <c r="J36" s="8" t="b">
        <v>0</v>
      </c>
    </row>
    <row r="37" spans="1:10">
      <c r="A37" s="8" t="s">
        <v>85</v>
      </c>
      <c r="B37" s="8" t="s">
        <v>86</v>
      </c>
      <c r="C37" s="8" t="s">
        <v>13</v>
      </c>
      <c r="D37" s="8">
        <v>129291.68</v>
      </c>
      <c r="E37" s="8" t="b">
        <v>0</v>
      </c>
      <c r="F37" s="8" t="b">
        <v>0</v>
      </c>
      <c r="G37" s="8">
        <v>0</v>
      </c>
      <c r="H37" s="8">
        <v>124103.28</v>
      </c>
      <c r="I37" s="8">
        <v>5188.3999999999996</v>
      </c>
      <c r="J37" s="8" t="b">
        <v>0</v>
      </c>
    </row>
    <row r="38" spans="1:10">
      <c r="A38" s="8" t="s">
        <v>87</v>
      </c>
      <c r="B38" s="8" t="s">
        <v>88</v>
      </c>
      <c r="C38" s="8" t="s">
        <v>13</v>
      </c>
      <c r="D38" s="8">
        <v>258442.69</v>
      </c>
      <c r="E38" s="8" t="b">
        <v>0</v>
      </c>
      <c r="F38" s="8" t="b">
        <v>0</v>
      </c>
      <c r="G38" s="8">
        <v>0</v>
      </c>
      <c r="H38" s="8">
        <v>289027.27</v>
      </c>
      <c r="I38" s="8">
        <v>-30584.58</v>
      </c>
      <c r="J38" s="8" t="b">
        <v>0</v>
      </c>
    </row>
    <row r="39" spans="1:10">
      <c r="A39" s="8" t="s">
        <v>89</v>
      </c>
      <c r="B39" s="8" t="s">
        <v>90</v>
      </c>
      <c r="C39" s="8" t="s">
        <v>13</v>
      </c>
      <c r="D39" s="8">
        <v>260475</v>
      </c>
      <c r="E39" s="8" t="b">
        <v>0</v>
      </c>
      <c r="F39" s="8" t="b">
        <v>0</v>
      </c>
      <c r="G39" s="8">
        <v>0</v>
      </c>
      <c r="H39" s="8">
        <v>269743.23</v>
      </c>
      <c r="I39" s="8">
        <v>-9268.23</v>
      </c>
      <c r="J39" s="8" t="b">
        <v>0</v>
      </c>
    </row>
    <row r="40" spans="1:10">
      <c r="A40" s="8" t="s">
        <v>91</v>
      </c>
      <c r="B40" s="8" t="s">
        <v>92</v>
      </c>
      <c r="C40" s="8" t="s">
        <v>13</v>
      </c>
      <c r="D40" s="8">
        <v>515725.36</v>
      </c>
      <c r="E40" s="8" t="b">
        <v>0</v>
      </c>
      <c r="F40" s="8" t="b">
        <v>0</v>
      </c>
      <c r="G40" s="8">
        <v>0</v>
      </c>
      <c r="H40" s="8">
        <v>597150.22</v>
      </c>
      <c r="I40" s="8">
        <v>-81424.86</v>
      </c>
      <c r="J40" s="8" t="b">
        <v>0</v>
      </c>
    </row>
    <row r="41" spans="1:10">
      <c r="A41" s="8" t="s">
        <v>93</v>
      </c>
      <c r="B41" s="8" t="s">
        <v>94</v>
      </c>
      <c r="C41" s="8" t="s">
        <v>13</v>
      </c>
      <c r="D41" s="8">
        <v>146468.68</v>
      </c>
      <c r="E41" s="8" t="b">
        <v>0</v>
      </c>
      <c r="F41" s="8" t="b">
        <v>0</v>
      </c>
      <c r="G41" s="8">
        <v>0</v>
      </c>
      <c r="H41" s="8">
        <v>157165.06</v>
      </c>
      <c r="I41" s="8">
        <v>-10696.38</v>
      </c>
      <c r="J41" s="8" t="b">
        <v>0</v>
      </c>
    </row>
    <row r="42" spans="1:10">
      <c r="A42" s="8" t="s">
        <v>95</v>
      </c>
      <c r="B42" s="8" t="s">
        <v>96</v>
      </c>
      <c r="C42" s="8" t="s">
        <v>13</v>
      </c>
      <c r="D42" s="8">
        <v>244715.61</v>
      </c>
      <c r="E42" s="8" t="b">
        <v>0</v>
      </c>
      <c r="F42" s="8" t="b">
        <v>0</v>
      </c>
      <c r="G42" s="8">
        <v>0</v>
      </c>
      <c r="H42" s="8">
        <v>243377.43</v>
      </c>
      <c r="I42" s="8">
        <v>1338.18</v>
      </c>
      <c r="J42" s="8" t="b">
        <v>0</v>
      </c>
    </row>
    <row r="43" spans="1:10">
      <c r="A43" s="8" t="s">
        <v>97</v>
      </c>
      <c r="B43" s="8" t="s">
        <v>98</v>
      </c>
      <c r="C43" s="8" t="s">
        <v>13</v>
      </c>
      <c r="D43" s="8">
        <v>486980.52</v>
      </c>
      <c r="E43" s="8" t="b">
        <v>0</v>
      </c>
      <c r="F43" s="8" t="b">
        <v>0</v>
      </c>
      <c r="G43" s="8">
        <v>0</v>
      </c>
      <c r="H43" s="8">
        <v>564976.26</v>
      </c>
      <c r="I43" s="8">
        <v>-77995.740000000005</v>
      </c>
      <c r="J43" s="8" t="b">
        <v>0</v>
      </c>
    </row>
    <row r="44" spans="1:10">
      <c r="A44" s="8" t="s">
        <v>99</v>
      </c>
      <c r="B44" s="8" t="s">
        <v>100</v>
      </c>
      <c r="C44" s="8" t="s">
        <v>13</v>
      </c>
      <c r="D44" s="8">
        <v>510180</v>
      </c>
      <c r="E44" s="8" t="b">
        <v>0</v>
      </c>
      <c r="F44" s="8" t="b">
        <v>0</v>
      </c>
      <c r="G44" s="8">
        <v>0</v>
      </c>
      <c r="H44" s="8">
        <v>516933.34</v>
      </c>
      <c r="I44" s="8">
        <v>-6753.34</v>
      </c>
      <c r="J44" s="8" t="b">
        <v>0</v>
      </c>
    </row>
    <row r="45" spans="1:10">
      <c r="A45" s="8" t="s">
        <v>101</v>
      </c>
      <c r="B45" s="8" t="s">
        <v>102</v>
      </c>
      <c r="C45" s="8" t="s">
        <v>13</v>
      </c>
      <c r="D45" s="8">
        <v>233191.54</v>
      </c>
      <c r="E45" s="8" t="b">
        <v>0</v>
      </c>
      <c r="F45" s="8" t="b">
        <v>0</v>
      </c>
      <c r="G45" s="8">
        <v>0</v>
      </c>
      <c r="H45" s="8">
        <v>240842.8</v>
      </c>
      <c r="I45" s="8">
        <v>-7651.26</v>
      </c>
      <c r="J45" s="8" t="b">
        <v>0</v>
      </c>
    </row>
    <row r="46" spans="1:10">
      <c r="A46" s="8" t="s">
        <v>103</v>
      </c>
      <c r="B46" s="8" t="s">
        <v>104</v>
      </c>
      <c r="C46" s="8" t="s">
        <v>13</v>
      </c>
      <c r="D46" s="8">
        <v>63992.85</v>
      </c>
      <c r="E46" s="8" t="b">
        <v>0</v>
      </c>
      <c r="F46" s="8" t="b">
        <v>0</v>
      </c>
      <c r="G46" s="8">
        <v>0</v>
      </c>
      <c r="H46" s="8">
        <v>66599.539999999994</v>
      </c>
      <c r="I46" s="8">
        <v>-2606.69</v>
      </c>
      <c r="J46" s="8" t="b">
        <v>0</v>
      </c>
    </row>
    <row r="47" spans="1:10">
      <c r="A47" s="8" t="s">
        <v>105</v>
      </c>
      <c r="B47" s="8" t="s">
        <v>106</v>
      </c>
      <c r="C47" s="8" t="s">
        <v>13</v>
      </c>
      <c r="D47" s="8">
        <v>232942.18</v>
      </c>
      <c r="E47" s="8" t="b">
        <v>0</v>
      </c>
      <c r="F47" s="8" t="b">
        <v>0</v>
      </c>
      <c r="G47" s="8">
        <v>0</v>
      </c>
      <c r="H47" s="8">
        <v>239536.13</v>
      </c>
      <c r="I47" s="8">
        <v>-6593.95</v>
      </c>
      <c r="J47" s="8" t="b">
        <v>0</v>
      </c>
    </row>
    <row r="48" spans="1:10">
      <c r="A48" s="8" t="s">
        <v>107</v>
      </c>
      <c r="B48" s="8" t="s">
        <v>108</v>
      </c>
      <c r="C48" s="8" t="s">
        <v>13</v>
      </c>
      <c r="D48" s="8">
        <v>261515.28</v>
      </c>
      <c r="E48" s="8" t="b">
        <v>0</v>
      </c>
      <c r="F48" s="8" t="b">
        <v>0</v>
      </c>
      <c r="G48" s="8">
        <v>0</v>
      </c>
      <c r="H48" s="8">
        <v>303768.71000000002</v>
      </c>
      <c r="I48" s="8">
        <v>-42253.43</v>
      </c>
      <c r="J48" s="8" t="b">
        <v>0</v>
      </c>
    </row>
    <row r="49" spans="1:10">
      <c r="A49" s="8" t="s">
        <v>109</v>
      </c>
      <c r="B49" s="8" t="s">
        <v>110</v>
      </c>
      <c r="C49" s="8" t="s">
        <v>13</v>
      </c>
      <c r="D49" s="8">
        <v>97167.27</v>
      </c>
      <c r="E49" s="8" t="b">
        <v>0</v>
      </c>
      <c r="F49" s="8" t="b">
        <v>0</v>
      </c>
      <c r="G49" s="8">
        <v>0</v>
      </c>
      <c r="H49" s="8">
        <v>94882.43</v>
      </c>
      <c r="I49" s="8">
        <v>2284.84</v>
      </c>
      <c r="J49" s="8" t="b">
        <v>0</v>
      </c>
    </row>
    <row r="50" spans="1:10">
      <c r="A50" s="8" t="s">
        <v>111</v>
      </c>
      <c r="B50" s="8" t="s">
        <v>112</v>
      </c>
      <c r="C50" s="8" t="s">
        <v>13</v>
      </c>
      <c r="D50" s="8">
        <v>169650</v>
      </c>
      <c r="E50" s="8" t="b">
        <v>0</v>
      </c>
      <c r="F50" s="8" t="b">
        <v>0</v>
      </c>
      <c r="G50" s="8">
        <v>0</v>
      </c>
      <c r="H50" s="8">
        <v>188173.78</v>
      </c>
      <c r="I50" s="8">
        <v>-18523.78</v>
      </c>
      <c r="J50" s="8" t="b">
        <v>0</v>
      </c>
    </row>
    <row r="51" spans="1:10">
      <c r="A51" s="8" t="s">
        <v>113</v>
      </c>
      <c r="B51" s="8" t="s">
        <v>114</v>
      </c>
      <c r="C51" s="8" t="s">
        <v>13</v>
      </c>
      <c r="D51" s="8">
        <v>542516</v>
      </c>
      <c r="E51" s="8" t="b">
        <v>0</v>
      </c>
      <c r="F51" s="8" t="b">
        <v>0</v>
      </c>
      <c r="G51" s="8">
        <v>0</v>
      </c>
      <c r="H51" s="8">
        <v>533592.52</v>
      </c>
      <c r="I51" s="8">
        <v>8923.48</v>
      </c>
      <c r="J51" s="8" t="b">
        <v>0</v>
      </c>
    </row>
    <row r="52" spans="1:10">
      <c r="A52" s="8" t="s">
        <v>115</v>
      </c>
      <c r="B52" s="8" t="s">
        <v>116</v>
      </c>
      <c r="C52" s="8" t="s">
        <v>13</v>
      </c>
      <c r="D52" s="8">
        <v>117882</v>
      </c>
      <c r="E52" s="8" t="b">
        <v>0</v>
      </c>
      <c r="F52" s="8" t="b">
        <v>0</v>
      </c>
      <c r="G52" s="8">
        <v>0</v>
      </c>
      <c r="H52" s="8">
        <v>102797.9</v>
      </c>
      <c r="I52" s="8">
        <v>15084.1</v>
      </c>
      <c r="J52" s="8" t="b">
        <v>0</v>
      </c>
    </row>
    <row r="53" spans="1:10">
      <c r="A53" s="8" t="s">
        <v>117</v>
      </c>
      <c r="B53" s="8" t="s">
        <v>118</v>
      </c>
      <c r="C53" s="8" t="s">
        <v>13</v>
      </c>
      <c r="D53" s="8">
        <v>424450.05</v>
      </c>
      <c r="E53" s="8" t="b">
        <v>0</v>
      </c>
      <c r="F53" s="8" t="b">
        <v>0</v>
      </c>
      <c r="G53" s="8">
        <v>0</v>
      </c>
      <c r="H53" s="8">
        <v>210526.09</v>
      </c>
      <c r="I53" s="8">
        <v>213923.96</v>
      </c>
      <c r="J53" s="8" t="b">
        <v>0</v>
      </c>
    </row>
    <row r="54" spans="1:10">
      <c r="A54" s="8" t="s">
        <v>119</v>
      </c>
      <c r="B54" s="8" t="s">
        <v>120</v>
      </c>
      <c r="C54" s="8" t="s">
        <v>13</v>
      </c>
      <c r="D54" s="8">
        <v>333073.87</v>
      </c>
      <c r="E54" s="8" t="b">
        <v>0</v>
      </c>
      <c r="F54" s="8" t="b">
        <v>0</v>
      </c>
      <c r="G54" s="8">
        <v>0</v>
      </c>
      <c r="H54" s="8">
        <v>354093.87</v>
      </c>
      <c r="I54" s="8">
        <v>-21020</v>
      </c>
      <c r="J54" s="8" t="b">
        <v>0</v>
      </c>
    </row>
    <row r="55" spans="1:10">
      <c r="A55" s="8" t="s">
        <v>121</v>
      </c>
      <c r="B55" s="8" t="s">
        <v>122</v>
      </c>
      <c r="C55" s="8" t="s">
        <v>13</v>
      </c>
      <c r="D55" s="8">
        <v>291490.92</v>
      </c>
      <c r="E55" s="8" t="b">
        <v>0</v>
      </c>
      <c r="F55" s="8" t="b">
        <v>0</v>
      </c>
      <c r="G55" s="8">
        <v>0</v>
      </c>
      <c r="H55" s="8">
        <v>329597.89</v>
      </c>
      <c r="I55" s="8">
        <v>-38106.97</v>
      </c>
      <c r="J55" s="8" t="b">
        <v>0</v>
      </c>
    </row>
    <row r="56" spans="1:10">
      <c r="A56" s="8" t="s">
        <v>123</v>
      </c>
      <c r="B56" s="8" t="s">
        <v>124</v>
      </c>
      <c r="C56" s="8" t="s">
        <v>13</v>
      </c>
      <c r="D56" s="8">
        <v>115614</v>
      </c>
      <c r="E56" s="8" t="b">
        <v>0</v>
      </c>
      <c r="F56" s="8" t="b">
        <v>0</v>
      </c>
      <c r="G56" s="8">
        <v>0</v>
      </c>
      <c r="H56" s="8">
        <v>125173.86</v>
      </c>
      <c r="I56" s="8">
        <v>-9559.86</v>
      </c>
      <c r="J56" s="8" t="b">
        <v>0</v>
      </c>
    </row>
    <row r="57" spans="1:10">
      <c r="A57" s="8" t="s">
        <v>125</v>
      </c>
      <c r="B57" s="8" t="s">
        <v>126</v>
      </c>
      <c r="C57" s="8" t="s">
        <v>13</v>
      </c>
      <c r="D57" s="8">
        <v>314938</v>
      </c>
      <c r="E57" s="8" t="b">
        <v>0</v>
      </c>
      <c r="F57" s="8" t="b">
        <v>0</v>
      </c>
      <c r="G57" s="8">
        <v>0</v>
      </c>
      <c r="H57" s="8">
        <v>350154.7</v>
      </c>
      <c r="I57" s="8">
        <v>-35216.699999999997</v>
      </c>
      <c r="J57" s="8" t="b">
        <v>0</v>
      </c>
    </row>
    <row r="58" spans="1:10">
      <c r="A58" s="8" t="s">
        <v>127</v>
      </c>
      <c r="B58" s="8" t="s">
        <v>128</v>
      </c>
      <c r="C58" s="8" t="s">
        <v>13</v>
      </c>
      <c r="D58" s="8">
        <v>591801.49</v>
      </c>
      <c r="E58" s="8" t="b">
        <v>0</v>
      </c>
      <c r="F58" s="8" t="b">
        <v>0</v>
      </c>
      <c r="G58" s="8">
        <v>0</v>
      </c>
      <c r="H58" s="8">
        <v>642821.22</v>
      </c>
      <c r="I58" s="8">
        <v>-51019.73</v>
      </c>
      <c r="J58" s="8" t="b">
        <v>0</v>
      </c>
    </row>
    <row r="59" spans="1:10">
      <c r="A59" s="8" t="s">
        <v>129</v>
      </c>
      <c r="B59" s="8" t="s">
        <v>130</v>
      </c>
      <c r="C59" s="8" t="s">
        <v>13</v>
      </c>
      <c r="D59" s="8">
        <v>467456.09</v>
      </c>
      <c r="E59" s="8" t="b">
        <v>0</v>
      </c>
      <c r="F59" s="8" t="b">
        <v>0</v>
      </c>
      <c r="G59" s="8">
        <v>0</v>
      </c>
      <c r="H59" s="8">
        <v>542262.73</v>
      </c>
      <c r="I59" s="8">
        <v>-74806.64</v>
      </c>
      <c r="J59" s="8" t="b">
        <v>0</v>
      </c>
    </row>
    <row r="60" spans="1:10">
      <c r="A60" s="8" t="s">
        <v>131</v>
      </c>
      <c r="B60" s="8" t="s">
        <v>132</v>
      </c>
      <c r="C60" s="8" t="s">
        <v>13</v>
      </c>
      <c r="D60" s="8">
        <v>329547.55</v>
      </c>
      <c r="E60" s="8" t="b">
        <v>0</v>
      </c>
      <c r="F60" s="8" t="b">
        <v>0</v>
      </c>
      <c r="G60" s="8">
        <v>0</v>
      </c>
      <c r="H60" s="8">
        <v>317255.69</v>
      </c>
      <c r="I60" s="8">
        <v>12291.86</v>
      </c>
      <c r="J60" s="8" t="b">
        <v>0</v>
      </c>
    </row>
    <row r="61" spans="1:10">
      <c r="A61" s="8" t="s">
        <v>133</v>
      </c>
      <c r="B61" s="8" t="s">
        <v>134</v>
      </c>
      <c r="C61" s="8" t="s">
        <v>13</v>
      </c>
      <c r="D61" s="8">
        <v>341951.76</v>
      </c>
      <c r="E61" s="8" t="b">
        <v>0</v>
      </c>
      <c r="F61" s="8" t="b">
        <v>0</v>
      </c>
      <c r="G61" s="8">
        <v>0</v>
      </c>
      <c r="H61" s="8">
        <v>362893.31</v>
      </c>
      <c r="I61" s="8">
        <v>-20941.55</v>
      </c>
      <c r="J61" s="8" t="b">
        <v>0</v>
      </c>
    </row>
    <row r="62" spans="1:10">
      <c r="A62" s="8" t="s">
        <v>135</v>
      </c>
      <c r="B62" s="8" t="s">
        <v>136</v>
      </c>
      <c r="C62" s="8" t="s">
        <v>13</v>
      </c>
      <c r="D62" s="8">
        <v>204531.46</v>
      </c>
      <c r="E62" s="8" t="b">
        <v>0</v>
      </c>
      <c r="F62" s="8" t="b">
        <v>0</v>
      </c>
      <c r="G62" s="8">
        <v>0</v>
      </c>
      <c r="H62" s="8">
        <v>196471.08</v>
      </c>
      <c r="I62" s="8">
        <v>8060.38</v>
      </c>
      <c r="J62" s="8" t="b">
        <v>0</v>
      </c>
    </row>
    <row r="63" spans="1:10">
      <c r="A63" s="8" t="s">
        <v>137</v>
      </c>
      <c r="B63" s="8" t="s">
        <v>138</v>
      </c>
      <c r="C63" s="8" t="s">
        <v>13</v>
      </c>
      <c r="D63" s="8">
        <v>536404</v>
      </c>
      <c r="E63" s="8" t="b">
        <v>0</v>
      </c>
      <c r="F63" s="8" t="b">
        <v>0</v>
      </c>
      <c r="G63" s="8">
        <v>0</v>
      </c>
      <c r="H63" s="8">
        <v>556199.55000000005</v>
      </c>
      <c r="I63" s="8">
        <v>-19795.55</v>
      </c>
      <c r="J63" s="8" t="b">
        <v>0</v>
      </c>
    </row>
    <row r="64" spans="1:10">
      <c r="A64" s="8" t="s">
        <v>139</v>
      </c>
      <c r="B64" s="8" t="s">
        <v>140</v>
      </c>
      <c r="C64" s="8" t="s">
        <v>13</v>
      </c>
      <c r="D64" s="8">
        <v>290227.7</v>
      </c>
      <c r="E64" s="8" t="b">
        <v>0</v>
      </c>
      <c r="F64" s="8" t="b">
        <v>0</v>
      </c>
      <c r="G64" s="8">
        <v>0</v>
      </c>
      <c r="H64" s="8">
        <v>306820.52</v>
      </c>
      <c r="I64" s="8">
        <v>-16592.82</v>
      </c>
      <c r="J64" s="8" t="b">
        <v>0</v>
      </c>
    </row>
    <row r="65" spans="1:10">
      <c r="A65" s="8" t="s">
        <v>141</v>
      </c>
      <c r="B65" s="8" t="s">
        <v>142</v>
      </c>
      <c r="C65" s="8" t="s">
        <v>13</v>
      </c>
      <c r="D65" s="8">
        <v>561215.4</v>
      </c>
      <c r="E65" s="8" t="b">
        <v>0</v>
      </c>
      <c r="F65" s="8" t="b">
        <v>0</v>
      </c>
      <c r="G65" s="8">
        <v>0</v>
      </c>
      <c r="H65" s="8">
        <v>593538.51</v>
      </c>
      <c r="I65" s="8">
        <v>-32323.11</v>
      </c>
      <c r="J65" s="8" t="b">
        <v>0</v>
      </c>
    </row>
    <row r="66" spans="1:10">
      <c r="A66" s="8" t="s">
        <v>143</v>
      </c>
      <c r="B66" s="8" t="s">
        <v>144</v>
      </c>
      <c r="C66" s="8" t="s">
        <v>13</v>
      </c>
      <c r="D66" s="8">
        <v>249165.64</v>
      </c>
      <c r="E66" s="8" t="b">
        <v>0</v>
      </c>
      <c r="F66" s="8" t="b">
        <v>0</v>
      </c>
      <c r="G66" s="8">
        <v>0</v>
      </c>
      <c r="H66" s="8">
        <v>267322.68</v>
      </c>
      <c r="I66" s="8">
        <v>-18157.04</v>
      </c>
      <c r="J66" s="8" t="b">
        <v>0</v>
      </c>
    </row>
    <row r="67" spans="1:10">
      <c r="A67" s="8" t="s">
        <v>145</v>
      </c>
      <c r="B67" s="8" t="s">
        <v>146</v>
      </c>
      <c r="C67" s="8" t="s">
        <v>13</v>
      </c>
      <c r="D67" s="8">
        <v>149138.23999999999</v>
      </c>
      <c r="E67" s="8" t="b">
        <v>0</v>
      </c>
      <c r="F67" s="8" t="b">
        <v>0</v>
      </c>
      <c r="G67" s="8">
        <v>0</v>
      </c>
      <c r="H67" s="8">
        <v>149545.06</v>
      </c>
      <c r="I67" s="8">
        <v>-406.82</v>
      </c>
      <c r="J67" s="8" t="b">
        <v>0</v>
      </c>
    </row>
    <row r="68" spans="1:10">
      <c r="A68" s="8" t="s">
        <v>147</v>
      </c>
      <c r="B68" s="8" t="s">
        <v>148</v>
      </c>
      <c r="C68" s="8" t="s">
        <v>13</v>
      </c>
      <c r="D68" s="8">
        <v>169037.14</v>
      </c>
      <c r="E68" s="8" t="b">
        <v>0</v>
      </c>
      <c r="F68" s="8" t="b">
        <v>0</v>
      </c>
      <c r="G68" s="8">
        <v>0</v>
      </c>
      <c r="H68" s="8">
        <v>191439.83</v>
      </c>
      <c r="I68" s="8">
        <v>-22402.69</v>
      </c>
      <c r="J68" s="8" t="b">
        <v>0</v>
      </c>
    </row>
    <row r="69" spans="1:10">
      <c r="A69" s="8" t="s">
        <v>149</v>
      </c>
      <c r="B69" s="8" t="s">
        <v>150</v>
      </c>
      <c r="C69" s="8" t="s">
        <v>13</v>
      </c>
      <c r="D69" s="8">
        <v>485562</v>
      </c>
      <c r="E69" s="8" t="b">
        <v>0</v>
      </c>
      <c r="F69" s="8" t="b">
        <v>0</v>
      </c>
      <c r="G69" s="8">
        <v>0</v>
      </c>
      <c r="H69" s="8">
        <v>159953.82999999999</v>
      </c>
      <c r="I69" s="8">
        <v>325608.17</v>
      </c>
      <c r="J69" s="8" t="b">
        <v>0</v>
      </c>
    </row>
    <row r="70" spans="1:10">
      <c r="A70" s="8" t="s">
        <v>151</v>
      </c>
      <c r="B70" s="8" t="s">
        <v>152</v>
      </c>
      <c r="C70" s="8" t="s">
        <v>13</v>
      </c>
      <c r="D70" s="8">
        <v>148883.21</v>
      </c>
      <c r="E70" s="8" t="b">
        <v>0</v>
      </c>
      <c r="F70" s="8" t="b">
        <v>0</v>
      </c>
      <c r="G70" s="8">
        <v>0</v>
      </c>
      <c r="H70" s="8">
        <v>150667.64000000001</v>
      </c>
      <c r="I70" s="8">
        <v>-1784.43</v>
      </c>
      <c r="J70" s="8" t="b">
        <v>0</v>
      </c>
    </row>
    <row r="71" spans="1:10">
      <c r="A71" s="8" t="s">
        <v>153</v>
      </c>
      <c r="B71" s="8" t="s">
        <v>154</v>
      </c>
      <c r="C71" s="8" t="s">
        <v>13</v>
      </c>
      <c r="D71" s="8">
        <v>508941.41</v>
      </c>
      <c r="E71" s="8" t="b">
        <v>0</v>
      </c>
      <c r="F71" s="8" t="b">
        <v>0</v>
      </c>
      <c r="G71" s="8">
        <v>0</v>
      </c>
      <c r="H71" s="8">
        <v>571142.27</v>
      </c>
      <c r="I71" s="8">
        <v>-62200.86</v>
      </c>
      <c r="J71" s="8" t="b">
        <v>0</v>
      </c>
    </row>
    <row r="72" spans="1:10">
      <c r="A72" s="8" t="s">
        <v>155</v>
      </c>
      <c r="B72" s="8" t="s">
        <v>156</v>
      </c>
      <c r="C72" s="8" t="s">
        <v>13</v>
      </c>
      <c r="D72" s="8">
        <v>254462</v>
      </c>
      <c r="E72" s="8" t="b">
        <v>0</v>
      </c>
      <c r="F72" s="8" t="b">
        <v>0</v>
      </c>
      <c r="G72" s="8">
        <v>0</v>
      </c>
      <c r="H72" s="8">
        <v>36686.089999999997</v>
      </c>
      <c r="I72" s="8">
        <v>217775.91</v>
      </c>
      <c r="J72" s="8" t="b">
        <v>0</v>
      </c>
    </row>
    <row r="73" spans="1:10">
      <c r="A73" s="8" t="s">
        <v>157</v>
      </c>
      <c r="B73" s="8" t="s">
        <v>158</v>
      </c>
      <c r="C73" s="8" t="s">
        <v>13</v>
      </c>
      <c r="D73" s="8">
        <v>323234.71000000002</v>
      </c>
      <c r="E73" s="8" t="b">
        <v>0</v>
      </c>
      <c r="F73" s="8" t="b">
        <v>0</v>
      </c>
      <c r="G73" s="8">
        <v>0</v>
      </c>
      <c r="H73" s="8">
        <v>362642.98</v>
      </c>
      <c r="I73" s="8">
        <v>-39408.269999999997</v>
      </c>
      <c r="J73" s="8" t="b">
        <v>0</v>
      </c>
    </row>
    <row r="74" spans="1:10">
      <c r="A74" s="8" t="s">
        <v>159</v>
      </c>
      <c r="B74" s="8" t="s">
        <v>160</v>
      </c>
      <c r="C74" s="8" t="s">
        <v>13</v>
      </c>
      <c r="D74" s="8">
        <v>276982.83</v>
      </c>
      <c r="E74" s="8" t="b">
        <v>0</v>
      </c>
      <c r="F74" s="8" t="b">
        <v>0</v>
      </c>
      <c r="G74" s="8">
        <v>0</v>
      </c>
      <c r="H74" s="8">
        <v>304353.59999999998</v>
      </c>
      <c r="I74" s="8">
        <v>-27370.77</v>
      </c>
      <c r="J74" s="8" t="b">
        <v>0</v>
      </c>
    </row>
    <row r="75" spans="1:10">
      <c r="A75" s="8" t="s">
        <v>161</v>
      </c>
      <c r="B75" s="8" t="s">
        <v>162</v>
      </c>
      <c r="C75" s="8" t="s">
        <v>13</v>
      </c>
      <c r="D75" s="8">
        <v>239292.3</v>
      </c>
      <c r="E75" s="8" t="b">
        <v>0</v>
      </c>
      <c r="F75" s="8" t="b">
        <v>0</v>
      </c>
      <c r="G75" s="8">
        <v>0</v>
      </c>
      <c r="H75" s="8">
        <v>281570.87</v>
      </c>
      <c r="I75" s="8">
        <v>-42278.57</v>
      </c>
      <c r="J75" s="8" t="b">
        <v>0</v>
      </c>
    </row>
    <row r="76" spans="1:10">
      <c r="A76" s="8" t="s">
        <v>163</v>
      </c>
      <c r="B76" s="8" t="s">
        <v>164</v>
      </c>
      <c r="C76" s="8" t="s">
        <v>13</v>
      </c>
      <c r="D76" s="8">
        <v>490438</v>
      </c>
      <c r="E76" s="8" t="b">
        <v>0</v>
      </c>
      <c r="F76" s="8" t="b">
        <v>0</v>
      </c>
      <c r="G76" s="8">
        <v>0</v>
      </c>
      <c r="H76" s="8">
        <v>580916.07999999996</v>
      </c>
      <c r="I76" s="8">
        <v>-90478.080000000002</v>
      </c>
      <c r="J76" s="8" t="b">
        <v>0</v>
      </c>
    </row>
    <row r="77" spans="1:10">
      <c r="A77" s="8" t="s">
        <v>165</v>
      </c>
      <c r="B77" s="8" t="s">
        <v>166</v>
      </c>
      <c r="C77" s="8" t="s">
        <v>13</v>
      </c>
      <c r="D77" s="8">
        <v>108513</v>
      </c>
      <c r="E77" s="8" t="b">
        <v>0</v>
      </c>
      <c r="F77" s="8" t="b">
        <v>0</v>
      </c>
      <c r="G77" s="8">
        <v>0</v>
      </c>
      <c r="H77" s="8">
        <v>70550.45</v>
      </c>
      <c r="I77" s="8">
        <v>37962.550000000003</v>
      </c>
      <c r="J77" s="8" t="b">
        <v>0</v>
      </c>
    </row>
    <row r="78" spans="1:10">
      <c r="A78" s="8" t="s">
        <v>167</v>
      </c>
      <c r="B78" s="8" t="s">
        <v>168</v>
      </c>
      <c r="C78" s="8" t="s">
        <v>13</v>
      </c>
      <c r="D78" s="8">
        <v>556938.93000000005</v>
      </c>
      <c r="E78" s="8" t="b">
        <v>0</v>
      </c>
      <c r="F78" s="8" t="b">
        <v>0</v>
      </c>
      <c r="G78" s="8">
        <v>0</v>
      </c>
      <c r="H78" s="8">
        <v>645998.01</v>
      </c>
      <c r="I78" s="8">
        <v>-89059.08</v>
      </c>
      <c r="J78" s="8" t="b">
        <v>0</v>
      </c>
    </row>
    <row r="79" spans="1:10">
      <c r="A79" s="8" t="s">
        <v>169</v>
      </c>
      <c r="B79" s="8" t="s">
        <v>170</v>
      </c>
      <c r="C79" s="8" t="s">
        <v>13</v>
      </c>
      <c r="D79" s="8">
        <v>389586</v>
      </c>
      <c r="E79" s="8" t="b">
        <v>0</v>
      </c>
      <c r="F79" s="8" t="b">
        <v>0</v>
      </c>
      <c r="G79" s="8">
        <v>0</v>
      </c>
      <c r="H79" s="8">
        <v>457801.9</v>
      </c>
      <c r="I79" s="8">
        <v>-68215.899999999994</v>
      </c>
      <c r="J79" s="8" t="b">
        <v>0</v>
      </c>
    </row>
    <row r="80" spans="1:10">
      <c r="A80" s="8" t="s">
        <v>171</v>
      </c>
      <c r="B80" s="8" t="s">
        <v>172</v>
      </c>
      <c r="C80" s="8" t="s">
        <v>13</v>
      </c>
      <c r="D80" s="8">
        <v>779495.08</v>
      </c>
      <c r="E80" s="8" t="b">
        <v>0</v>
      </c>
      <c r="F80" s="8" t="b">
        <v>0</v>
      </c>
      <c r="G80" s="8">
        <v>0</v>
      </c>
      <c r="H80" s="8">
        <v>858693.32</v>
      </c>
      <c r="I80" s="8">
        <v>-79198.240000000005</v>
      </c>
      <c r="J80" s="8" t="b">
        <v>0</v>
      </c>
    </row>
    <row r="81" spans="1:10">
      <c r="A81" s="8" t="s">
        <v>173</v>
      </c>
      <c r="B81" s="8" t="s">
        <v>174</v>
      </c>
      <c r="C81" s="8" t="s">
        <v>13</v>
      </c>
      <c r="D81" s="8">
        <v>213786</v>
      </c>
      <c r="E81" s="8" t="b">
        <v>0</v>
      </c>
      <c r="F81" s="8" t="b">
        <v>0</v>
      </c>
      <c r="G81" s="8">
        <v>0</v>
      </c>
      <c r="H81" s="8">
        <v>225545.13</v>
      </c>
      <c r="I81" s="8">
        <v>-11759.13</v>
      </c>
      <c r="J81" s="8" t="b">
        <v>0</v>
      </c>
    </row>
    <row r="82" spans="1:10">
      <c r="A82" s="8" t="s">
        <v>175</v>
      </c>
      <c r="B82" s="8" t="s">
        <v>176</v>
      </c>
      <c r="C82" s="8" t="s">
        <v>13</v>
      </c>
      <c r="D82" s="8">
        <v>140535</v>
      </c>
      <c r="E82" s="8" t="b">
        <v>0</v>
      </c>
      <c r="F82" s="8" t="b">
        <v>0</v>
      </c>
      <c r="G82" s="8">
        <v>0</v>
      </c>
      <c r="H82" s="8">
        <v>157090.74</v>
      </c>
      <c r="I82" s="8">
        <v>-16555.740000000002</v>
      </c>
      <c r="J82" s="8" t="b">
        <v>0</v>
      </c>
    </row>
    <row r="83" spans="1:10">
      <c r="A83" s="8" t="s">
        <v>177</v>
      </c>
      <c r="B83" s="8" t="s">
        <v>178</v>
      </c>
      <c r="C83" s="8" t="s">
        <v>13</v>
      </c>
      <c r="D83" s="8">
        <v>364775.04</v>
      </c>
      <c r="E83" s="8" t="b">
        <v>0</v>
      </c>
      <c r="F83" s="8" t="b">
        <v>0</v>
      </c>
      <c r="G83" s="8">
        <v>0</v>
      </c>
      <c r="H83" s="8">
        <v>366192.48</v>
      </c>
      <c r="I83" s="8">
        <v>-1417.44</v>
      </c>
      <c r="J83" s="8" t="b">
        <v>0</v>
      </c>
    </row>
    <row r="84" spans="1:10">
      <c r="A84" s="8" t="s">
        <v>179</v>
      </c>
      <c r="B84" s="8" t="s">
        <v>180</v>
      </c>
      <c r="C84" s="8" t="s">
        <v>13</v>
      </c>
      <c r="D84" s="8">
        <v>319200</v>
      </c>
      <c r="E84" s="8" t="b">
        <v>0</v>
      </c>
      <c r="F84" s="8" t="b">
        <v>0</v>
      </c>
      <c r="G84" s="8">
        <v>0</v>
      </c>
      <c r="H84" s="8">
        <v>295304.65000000002</v>
      </c>
      <c r="I84" s="8">
        <v>23895.35</v>
      </c>
      <c r="J84" s="8" t="b">
        <v>0</v>
      </c>
    </row>
    <row r="85" spans="1:10">
      <c r="A85" s="8" t="s">
        <v>181</v>
      </c>
      <c r="B85" s="8" t="s">
        <v>182</v>
      </c>
      <c r="C85" s="8" t="s">
        <v>13</v>
      </c>
      <c r="D85" s="8">
        <v>130838.79</v>
      </c>
      <c r="E85" s="8" t="b">
        <v>0</v>
      </c>
      <c r="F85" s="8" t="b">
        <v>0</v>
      </c>
      <c r="G85" s="8">
        <v>0</v>
      </c>
      <c r="H85" s="8">
        <v>155047.26999999999</v>
      </c>
      <c r="I85" s="8">
        <v>-24208.48</v>
      </c>
      <c r="J85" s="8" t="b">
        <v>0</v>
      </c>
    </row>
    <row r="86" spans="1:10">
      <c r="A86" s="8" t="s">
        <v>183</v>
      </c>
      <c r="B86" s="8" t="s">
        <v>184</v>
      </c>
      <c r="C86" s="8" t="s">
        <v>13</v>
      </c>
      <c r="D86" s="8">
        <v>443408.07</v>
      </c>
      <c r="E86" s="8" t="b">
        <v>0</v>
      </c>
      <c r="F86" s="8" t="b">
        <v>0</v>
      </c>
      <c r="G86" s="8">
        <v>0</v>
      </c>
      <c r="H86" s="8">
        <v>479067.5</v>
      </c>
      <c r="I86" s="8">
        <v>-35659.43</v>
      </c>
      <c r="J86" s="8" t="b">
        <v>0</v>
      </c>
    </row>
    <row r="87" spans="1:10">
      <c r="A87" s="8" t="s">
        <v>185</v>
      </c>
      <c r="B87" s="8" t="s">
        <v>186</v>
      </c>
      <c r="C87" s="8" t="s">
        <v>13</v>
      </c>
      <c r="D87" s="8">
        <v>522102.34</v>
      </c>
      <c r="E87" s="8" t="b">
        <v>0</v>
      </c>
      <c r="F87" s="8" t="b">
        <v>0</v>
      </c>
      <c r="G87" s="8">
        <v>0</v>
      </c>
      <c r="H87" s="8">
        <v>596100.48</v>
      </c>
      <c r="I87" s="8">
        <v>-73998.14</v>
      </c>
      <c r="J87" s="8" t="b">
        <v>0</v>
      </c>
    </row>
    <row r="88" spans="1:10">
      <c r="A88" s="8" t="s">
        <v>187</v>
      </c>
      <c r="B88" s="8" t="s">
        <v>188</v>
      </c>
      <c r="C88" s="8" t="s">
        <v>13</v>
      </c>
      <c r="D88" s="8">
        <v>317520</v>
      </c>
      <c r="E88" s="8" t="b">
        <v>0</v>
      </c>
      <c r="F88" s="8" t="b">
        <v>0</v>
      </c>
      <c r="G88" s="8">
        <v>0</v>
      </c>
      <c r="H88" s="8">
        <v>304708.87</v>
      </c>
      <c r="I88" s="8">
        <v>12811.13</v>
      </c>
      <c r="J88" s="8" t="b">
        <v>0</v>
      </c>
    </row>
    <row r="89" spans="1:10">
      <c r="A89" s="8" t="s">
        <v>189</v>
      </c>
      <c r="B89" s="8" t="s">
        <v>190</v>
      </c>
      <c r="C89" s="8" t="s">
        <v>13</v>
      </c>
      <c r="D89" s="8">
        <v>379995</v>
      </c>
      <c r="E89" s="8" t="b">
        <v>0</v>
      </c>
      <c r="F89" s="8" t="b">
        <v>0</v>
      </c>
      <c r="G89" s="8">
        <v>0</v>
      </c>
      <c r="H89" s="8">
        <v>417968.14</v>
      </c>
      <c r="I89" s="8">
        <v>-37973.14</v>
      </c>
      <c r="J89" s="8" t="b">
        <v>0</v>
      </c>
    </row>
    <row r="90" spans="1:10">
      <c r="A90" s="8" t="s">
        <v>191</v>
      </c>
      <c r="B90" s="8" t="s">
        <v>192</v>
      </c>
      <c r="C90" s="8" t="s">
        <v>13</v>
      </c>
      <c r="D90" s="8">
        <v>234452.75</v>
      </c>
      <c r="E90" s="8" t="b">
        <v>0</v>
      </c>
      <c r="F90" s="8" t="b">
        <v>0</v>
      </c>
      <c r="G90" s="8">
        <v>0</v>
      </c>
      <c r="H90" s="8">
        <v>233519.19</v>
      </c>
      <c r="I90" s="8">
        <v>933.56</v>
      </c>
      <c r="J90" s="8" t="b">
        <v>0</v>
      </c>
    </row>
    <row r="91" spans="1:10">
      <c r="A91" s="8" t="s">
        <v>193</v>
      </c>
      <c r="B91" s="8" t="s">
        <v>194</v>
      </c>
      <c r="C91" s="8" t="s">
        <v>13</v>
      </c>
      <c r="D91" s="8">
        <v>175942.45</v>
      </c>
      <c r="E91" s="8" t="b">
        <v>0</v>
      </c>
      <c r="F91" s="8" t="b">
        <v>0</v>
      </c>
      <c r="G91" s="8">
        <v>0</v>
      </c>
      <c r="H91" s="8">
        <v>141221.51</v>
      </c>
      <c r="I91" s="8">
        <v>34720.94</v>
      </c>
      <c r="J91" s="8" t="b">
        <v>0</v>
      </c>
    </row>
    <row r="92" spans="1:10">
      <c r="A92" s="8" t="s">
        <v>195</v>
      </c>
      <c r="B92" s="8" t="s">
        <v>196</v>
      </c>
      <c r="C92" s="8" t="s">
        <v>13</v>
      </c>
      <c r="D92" s="8">
        <v>179172</v>
      </c>
      <c r="E92" s="8" t="b">
        <v>0</v>
      </c>
      <c r="F92" s="8" t="b">
        <v>0</v>
      </c>
      <c r="G92" s="8">
        <v>0</v>
      </c>
      <c r="H92" s="8">
        <v>183203.76</v>
      </c>
      <c r="I92" s="8">
        <v>-4031.76</v>
      </c>
      <c r="J92" s="8" t="b">
        <v>0</v>
      </c>
    </row>
    <row r="93" spans="1:10">
      <c r="A93" s="8" t="s">
        <v>197</v>
      </c>
      <c r="B93" s="8" t="s">
        <v>198</v>
      </c>
      <c r="C93" s="8" t="s">
        <v>13</v>
      </c>
      <c r="D93" s="8">
        <v>637511.16</v>
      </c>
      <c r="E93" s="8" t="b">
        <v>0</v>
      </c>
      <c r="F93" s="8" t="b">
        <v>0</v>
      </c>
      <c r="G93" s="8">
        <v>0</v>
      </c>
      <c r="H93" s="8">
        <v>753709.84</v>
      </c>
      <c r="I93" s="8">
        <v>-116198.68</v>
      </c>
      <c r="J93" s="8" t="b">
        <v>0</v>
      </c>
    </row>
    <row r="94" spans="1:10">
      <c r="A94" s="8" t="s">
        <v>199</v>
      </c>
      <c r="B94" s="8" t="s">
        <v>200</v>
      </c>
      <c r="C94" s="8" t="s">
        <v>13</v>
      </c>
      <c r="D94" s="8">
        <v>531950</v>
      </c>
      <c r="E94" s="8" t="b">
        <v>0</v>
      </c>
      <c r="F94" s="8" t="b">
        <v>0</v>
      </c>
      <c r="G94" s="8">
        <v>0</v>
      </c>
      <c r="H94" s="8">
        <v>545334.46</v>
      </c>
      <c r="I94" s="8">
        <v>-13384.46</v>
      </c>
      <c r="J94" s="8" t="b">
        <v>0</v>
      </c>
    </row>
    <row r="95" spans="1:10">
      <c r="A95" s="8" t="s">
        <v>201</v>
      </c>
      <c r="B95" s="8" t="s">
        <v>202</v>
      </c>
      <c r="C95" s="8" t="s">
        <v>13</v>
      </c>
      <c r="D95" s="8">
        <v>566632.78</v>
      </c>
      <c r="E95" s="8" t="b">
        <v>0</v>
      </c>
      <c r="F95" s="8" t="b">
        <v>0</v>
      </c>
      <c r="G95" s="8">
        <v>0</v>
      </c>
      <c r="H95" s="8">
        <v>628634.22</v>
      </c>
      <c r="I95" s="8">
        <v>-62001.440000000002</v>
      </c>
      <c r="J95" s="8" t="b">
        <v>0</v>
      </c>
    </row>
    <row r="96" spans="1:10">
      <c r="A96" s="8" t="s">
        <v>203</v>
      </c>
      <c r="B96" s="8" t="s">
        <v>204</v>
      </c>
      <c r="C96" s="8" t="s">
        <v>13</v>
      </c>
      <c r="D96" s="8">
        <v>189125</v>
      </c>
      <c r="E96" s="8" t="b">
        <v>0</v>
      </c>
      <c r="F96" s="8" t="b">
        <v>0</v>
      </c>
      <c r="G96" s="8">
        <v>0</v>
      </c>
      <c r="H96" s="8">
        <v>145105.79</v>
      </c>
      <c r="I96" s="8">
        <v>44019.21</v>
      </c>
      <c r="J96" s="8" t="b">
        <v>0</v>
      </c>
    </row>
    <row r="97" spans="1:10">
      <c r="A97" s="8" t="s">
        <v>205</v>
      </c>
      <c r="B97" s="8" t="s">
        <v>206</v>
      </c>
      <c r="C97" s="8" t="s">
        <v>13</v>
      </c>
      <c r="D97" s="8">
        <v>477800.95</v>
      </c>
      <c r="E97" s="8" t="b">
        <v>0</v>
      </c>
      <c r="F97" s="8" t="b">
        <v>0</v>
      </c>
      <c r="G97" s="8">
        <v>0</v>
      </c>
      <c r="H97" s="8">
        <v>468362.39</v>
      </c>
      <c r="I97" s="8">
        <v>9438.56</v>
      </c>
      <c r="J97" s="8" t="b">
        <v>0</v>
      </c>
    </row>
    <row r="98" spans="1:10">
      <c r="A98" s="8" t="s">
        <v>11</v>
      </c>
      <c r="B98" s="8" t="s">
        <v>12</v>
      </c>
      <c r="C98" s="8" t="s">
        <v>207</v>
      </c>
      <c r="D98" s="8">
        <v>369577.78</v>
      </c>
      <c r="E98" s="8" t="b">
        <v>0</v>
      </c>
      <c r="F98" s="8" t="b">
        <v>0</v>
      </c>
      <c r="G98" s="8">
        <v>13385.62</v>
      </c>
      <c r="H98" s="8">
        <v>375450.91</v>
      </c>
      <c r="I98" s="8">
        <v>-5873.13</v>
      </c>
      <c r="J98" s="8" t="b">
        <v>0</v>
      </c>
    </row>
    <row r="99" spans="1:10">
      <c r="A99" s="8" t="s">
        <v>195</v>
      </c>
      <c r="B99" s="8" t="s">
        <v>196</v>
      </c>
      <c r="C99" s="8" t="s">
        <v>208</v>
      </c>
      <c r="D99" s="8">
        <v>185808</v>
      </c>
      <c r="E99" s="8" t="b">
        <v>0</v>
      </c>
      <c r="F99" s="8" t="b">
        <v>0</v>
      </c>
      <c r="G99" s="8">
        <v>14006.84</v>
      </c>
      <c r="H99" s="8">
        <v>173772.01</v>
      </c>
      <c r="I99" s="8">
        <v>12035.99</v>
      </c>
      <c r="J99" s="8" t="b">
        <v>0</v>
      </c>
    </row>
    <row r="100" spans="1:10">
      <c r="A100" s="8" t="s">
        <v>18</v>
      </c>
      <c r="B100" s="8" t="s">
        <v>19</v>
      </c>
      <c r="C100" s="8" t="s">
        <v>209</v>
      </c>
      <c r="D100" s="8">
        <v>64285</v>
      </c>
      <c r="E100" s="8" t="b">
        <v>0</v>
      </c>
      <c r="F100" s="8" t="b">
        <v>0</v>
      </c>
      <c r="G100" s="8">
        <v>1526.27</v>
      </c>
      <c r="H100" s="8">
        <v>64269.93</v>
      </c>
      <c r="I100" s="8">
        <v>15.07</v>
      </c>
      <c r="J100" s="8" t="b">
        <v>0</v>
      </c>
    </row>
    <row r="101" spans="1:10">
      <c r="A101" s="8" t="s">
        <v>18</v>
      </c>
      <c r="B101" s="8" t="s">
        <v>19</v>
      </c>
      <c r="C101" s="8" t="s">
        <v>210</v>
      </c>
      <c r="D101" s="8">
        <v>102856</v>
      </c>
      <c r="E101" s="8" t="b">
        <v>0</v>
      </c>
      <c r="F101" s="8" t="b">
        <v>0</v>
      </c>
      <c r="G101" s="8">
        <v>13667.77</v>
      </c>
      <c r="H101" s="8">
        <v>90618.77</v>
      </c>
      <c r="I101" s="8">
        <v>12237.23</v>
      </c>
      <c r="J101" s="8" t="b">
        <v>0</v>
      </c>
    </row>
    <row r="102" spans="1:10">
      <c r="A102" s="8" t="s">
        <v>99</v>
      </c>
      <c r="B102" s="8" t="s">
        <v>100</v>
      </c>
      <c r="C102" s="8" t="s">
        <v>211</v>
      </c>
      <c r="D102" s="8">
        <v>46380</v>
      </c>
      <c r="E102" s="8" t="b">
        <v>0</v>
      </c>
      <c r="F102" s="8" t="b">
        <v>0</v>
      </c>
      <c r="G102" s="8">
        <v>2062.96</v>
      </c>
      <c r="H102" s="8">
        <v>43399.62</v>
      </c>
      <c r="I102" s="8">
        <v>2980.38</v>
      </c>
      <c r="J102" s="8" t="b">
        <v>0</v>
      </c>
    </row>
    <row r="103" spans="1:10">
      <c r="A103" s="8" t="s">
        <v>151</v>
      </c>
      <c r="B103" s="8" t="s">
        <v>152</v>
      </c>
      <c r="C103" s="8" t="s">
        <v>211</v>
      </c>
      <c r="D103" s="8">
        <v>17149.810000000001</v>
      </c>
      <c r="E103" s="8" t="b">
        <v>0</v>
      </c>
      <c r="F103" s="8" t="b">
        <v>0</v>
      </c>
      <c r="G103" s="8">
        <v>2158.1799999999998</v>
      </c>
      <c r="H103" s="8">
        <v>13136.5</v>
      </c>
      <c r="I103" s="8">
        <v>4013.31</v>
      </c>
      <c r="J103" s="8" t="b">
        <v>0</v>
      </c>
    </row>
    <row r="104" spans="1:10">
      <c r="A104" s="8" t="s">
        <v>125</v>
      </c>
      <c r="B104" s="8" t="s">
        <v>126</v>
      </c>
      <c r="C104" s="8" t="s">
        <v>209</v>
      </c>
      <c r="D104" s="8">
        <v>60565</v>
      </c>
      <c r="E104" s="8" t="b">
        <v>0</v>
      </c>
      <c r="F104" s="8" t="b">
        <v>0</v>
      </c>
      <c r="G104" s="8">
        <v>2630.75</v>
      </c>
      <c r="H104" s="8">
        <v>64006.58</v>
      </c>
      <c r="I104" s="8">
        <v>-3441.58</v>
      </c>
      <c r="J104" s="8" t="b">
        <v>0</v>
      </c>
    </row>
    <row r="105" spans="1:10">
      <c r="A105" s="8" t="s">
        <v>77</v>
      </c>
      <c r="B105" s="8" t="s">
        <v>78</v>
      </c>
      <c r="C105" s="8" t="s">
        <v>208</v>
      </c>
      <c r="D105" s="8">
        <v>689229</v>
      </c>
      <c r="E105" s="8" t="b">
        <v>0</v>
      </c>
      <c r="F105" s="8" t="b">
        <v>0</v>
      </c>
      <c r="G105" s="8">
        <v>0</v>
      </c>
      <c r="H105" s="8">
        <v>764221.38</v>
      </c>
      <c r="I105" s="8">
        <v>-74992.38</v>
      </c>
      <c r="J105" s="8" t="b">
        <v>0</v>
      </c>
    </row>
    <row r="106" spans="1:10">
      <c r="A106" s="8" t="s">
        <v>127</v>
      </c>
      <c r="B106" s="8" t="s">
        <v>128</v>
      </c>
      <c r="C106" s="8" t="s">
        <v>207</v>
      </c>
      <c r="D106" s="8">
        <v>659881.88</v>
      </c>
      <c r="E106" s="8" t="b">
        <v>0</v>
      </c>
      <c r="F106" s="8" t="b">
        <v>0</v>
      </c>
      <c r="G106" s="8">
        <v>54861.88</v>
      </c>
      <c r="H106" s="8">
        <v>659111.01</v>
      </c>
      <c r="I106" s="8">
        <v>770.87</v>
      </c>
      <c r="J106" s="8" t="b">
        <v>0</v>
      </c>
    </row>
    <row r="107" spans="1:10">
      <c r="A107" s="8" t="s">
        <v>39</v>
      </c>
      <c r="B107" s="8" t="s">
        <v>40</v>
      </c>
      <c r="C107" s="8" t="s">
        <v>209</v>
      </c>
      <c r="D107" s="8">
        <v>26870</v>
      </c>
      <c r="E107" s="8" t="b">
        <v>0</v>
      </c>
      <c r="F107" s="8" t="b">
        <v>0</v>
      </c>
      <c r="G107" s="8">
        <v>3700.33</v>
      </c>
      <c r="H107" s="8">
        <v>25596.97</v>
      </c>
      <c r="I107" s="8">
        <v>1273.03</v>
      </c>
      <c r="J107" s="8" t="b">
        <v>0</v>
      </c>
    </row>
    <row r="108" spans="1:10">
      <c r="A108" s="8" t="s">
        <v>39</v>
      </c>
      <c r="B108" s="8" t="s">
        <v>40</v>
      </c>
      <c r="C108" s="8" t="s">
        <v>210</v>
      </c>
      <c r="D108" s="8">
        <v>42992</v>
      </c>
      <c r="E108" s="8" t="b">
        <v>0</v>
      </c>
      <c r="F108" s="8" t="b">
        <v>0</v>
      </c>
      <c r="G108" s="8">
        <v>6100.22</v>
      </c>
      <c r="H108" s="8">
        <v>41622.800000000003</v>
      </c>
      <c r="I108" s="8">
        <v>1369.2</v>
      </c>
      <c r="J108" s="8" t="b">
        <v>0</v>
      </c>
    </row>
    <row r="109" spans="1:10">
      <c r="A109" s="8" t="s">
        <v>83</v>
      </c>
      <c r="B109" s="8" t="s">
        <v>84</v>
      </c>
      <c r="C109" s="8" t="s">
        <v>212</v>
      </c>
      <c r="D109" s="8">
        <v>135684</v>
      </c>
      <c r="E109" s="8" t="b">
        <v>0</v>
      </c>
      <c r="F109" s="8" t="b">
        <v>0</v>
      </c>
      <c r="G109" s="8">
        <v>17458.84</v>
      </c>
      <c r="H109" s="8">
        <v>128992.74</v>
      </c>
      <c r="I109" s="8">
        <v>6691.26</v>
      </c>
      <c r="J109" s="8" t="b">
        <v>0</v>
      </c>
    </row>
    <row r="110" spans="1:10">
      <c r="A110" s="8" t="s">
        <v>59</v>
      </c>
      <c r="B110" s="8" t="s">
        <v>60</v>
      </c>
      <c r="C110" s="8" t="s">
        <v>211</v>
      </c>
      <c r="D110" s="8">
        <v>15409.36</v>
      </c>
      <c r="E110" s="8" t="b">
        <v>0</v>
      </c>
      <c r="F110" s="8" t="b">
        <v>0</v>
      </c>
      <c r="G110" s="8">
        <v>2622.82</v>
      </c>
      <c r="H110" s="8">
        <v>13797.72</v>
      </c>
      <c r="I110" s="8">
        <v>1611.64</v>
      </c>
      <c r="J110" s="8" t="b">
        <v>0</v>
      </c>
    </row>
    <row r="111" spans="1:10">
      <c r="A111" s="8" t="s">
        <v>45</v>
      </c>
      <c r="B111" s="8" t="s">
        <v>46</v>
      </c>
      <c r="C111" s="8" t="s">
        <v>211</v>
      </c>
      <c r="D111" s="8">
        <v>11883</v>
      </c>
      <c r="E111" s="8" t="b">
        <v>0</v>
      </c>
      <c r="F111" s="8" t="b">
        <v>0</v>
      </c>
      <c r="G111" s="8">
        <v>533.66</v>
      </c>
      <c r="H111" s="8">
        <v>10108.86</v>
      </c>
      <c r="I111" s="8">
        <v>1774.14</v>
      </c>
      <c r="J111" s="8" t="b">
        <v>0</v>
      </c>
    </row>
    <row r="112" spans="1:10">
      <c r="A112" s="8" t="s">
        <v>175</v>
      </c>
      <c r="B112" s="8" t="s">
        <v>176</v>
      </c>
      <c r="C112" s="8" t="s">
        <v>207</v>
      </c>
      <c r="D112" s="8">
        <v>130125</v>
      </c>
      <c r="E112" s="8" t="b">
        <v>0</v>
      </c>
      <c r="F112" s="8" t="b">
        <v>0</v>
      </c>
      <c r="G112" s="8">
        <v>15755.72</v>
      </c>
      <c r="H112" s="8">
        <v>128748.02</v>
      </c>
      <c r="I112" s="8">
        <v>1376.98</v>
      </c>
      <c r="J112" s="8" t="b">
        <v>0</v>
      </c>
    </row>
    <row r="113" spans="1:10">
      <c r="A113" s="8" t="s">
        <v>47</v>
      </c>
      <c r="B113" s="8" t="s">
        <v>48</v>
      </c>
      <c r="C113" s="8" t="s">
        <v>207</v>
      </c>
      <c r="D113" s="8">
        <v>270835.49</v>
      </c>
      <c r="E113" s="8" t="b">
        <v>0</v>
      </c>
      <c r="F113" s="8" t="b">
        <v>0</v>
      </c>
      <c r="G113" s="8">
        <v>34567.980000000003</v>
      </c>
      <c r="H113" s="8">
        <v>265370.95</v>
      </c>
      <c r="I113" s="8">
        <v>5464.54</v>
      </c>
      <c r="J113" s="8" t="b">
        <v>0</v>
      </c>
    </row>
    <row r="114" spans="1:10">
      <c r="A114" s="8" t="s">
        <v>49</v>
      </c>
      <c r="B114" s="8" t="s">
        <v>50</v>
      </c>
      <c r="C114" s="8" t="s">
        <v>212</v>
      </c>
      <c r="D114" s="8">
        <v>23576.37</v>
      </c>
      <c r="E114" s="8" t="b">
        <v>0</v>
      </c>
      <c r="F114" s="8" t="b">
        <v>0</v>
      </c>
      <c r="G114" s="8">
        <v>1477.41</v>
      </c>
      <c r="H114" s="8">
        <v>21058.65</v>
      </c>
      <c r="I114" s="8">
        <v>2517.7199999999998</v>
      </c>
      <c r="J114" s="8" t="b">
        <v>0</v>
      </c>
    </row>
    <row r="115" spans="1:10">
      <c r="A115" s="8" t="s">
        <v>65</v>
      </c>
      <c r="B115" s="8" t="s">
        <v>66</v>
      </c>
      <c r="C115" s="8" t="s">
        <v>211</v>
      </c>
      <c r="D115" s="8">
        <v>38985</v>
      </c>
      <c r="E115" s="8" t="b">
        <v>0</v>
      </c>
      <c r="F115" s="8" t="b">
        <v>0</v>
      </c>
      <c r="G115" s="8">
        <v>0</v>
      </c>
      <c r="H115" s="8">
        <v>35210.959999999999</v>
      </c>
      <c r="I115" s="8">
        <v>3774.04</v>
      </c>
      <c r="J115" s="8" t="b">
        <v>0</v>
      </c>
    </row>
    <row r="116" spans="1:10">
      <c r="A116" s="8" t="s">
        <v>113</v>
      </c>
      <c r="B116" s="8" t="s">
        <v>114</v>
      </c>
      <c r="C116" s="8" t="s">
        <v>212</v>
      </c>
      <c r="D116" s="8">
        <v>62598</v>
      </c>
      <c r="E116" s="8" t="b">
        <v>0</v>
      </c>
      <c r="F116" s="8" t="b">
        <v>0</v>
      </c>
      <c r="G116" s="8">
        <v>3690.13</v>
      </c>
      <c r="H116" s="8">
        <v>58068.94</v>
      </c>
      <c r="I116" s="8">
        <v>4529.0600000000004</v>
      </c>
      <c r="J116" s="8" t="b">
        <v>0</v>
      </c>
    </row>
    <row r="117" spans="1:10">
      <c r="A117" s="8" t="s">
        <v>203</v>
      </c>
      <c r="B117" s="8" t="s">
        <v>204</v>
      </c>
      <c r="C117" s="8" t="s">
        <v>211</v>
      </c>
      <c r="D117" s="8">
        <v>22695</v>
      </c>
      <c r="E117" s="8" t="b">
        <v>0</v>
      </c>
      <c r="F117" s="8" t="b">
        <v>0</v>
      </c>
      <c r="G117" s="8">
        <v>1214.1600000000001</v>
      </c>
      <c r="H117" s="8">
        <v>14234.4</v>
      </c>
      <c r="I117" s="8">
        <v>8460.6</v>
      </c>
      <c r="J117" s="8" t="b">
        <v>0</v>
      </c>
    </row>
    <row r="118" spans="1:10">
      <c r="A118" s="8" t="s">
        <v>205</v>
      </c>
      <c r="B118" s="8" t="s">
        <v>206</v>
      </c>
      <c r="C118" s="8" t="s">
        <v>212</v>
      </c>
      <c r="D118" s="8">
        <v>45740.58</v>
      </c>
      <c r="E118" s="8" t="b">
        <v>0</v>
      </c>
      <c r="F118" s="8" t="b">
        <v>0</v>
      </c>
      <c r="G118" s="8">
        <v>9848.14</v>
      </c>
      <c r="H118" s="8">
        <v>34899.51</v>
      </c>
      <c r="I118" s="8">
        <v>10841.07</v>
      </c>
      <c r="J118" s="8" t="b">
        <v>0</v>
      </c>
    </row>
    <row r="119" spans="1:10">
      <c r="A119" s="8" t="s">
        <v>67</v>
      </c>
      <c r="B119" s="8" t="s">
        <v>68</v>
      </c>
      <c r="C119" s="8" t="s">
        <v>208</v>
      </c>
      <c r="D119" s="8">
        <v>247725</v>
      </c>
      <c r="E119" s="8" t="b">
        <v>0</v>
      </c>
      <c r="F119" s="8" t="b">
        <v>0</v>
      </c>
      <c r="G119" s="8">
        <v>0</v>
      </c>
      <c r="H119" s="8">
        <v>222897.84</v>
      </c>
      <c r="I119" s="8">
        <v>24827.16</v>
      </c>
      <c r="J119" s="8" t="b">
        <v>0</v>
      </c>
    </row>
    <row r="120" spans="1:10">
      <c r="A120" s="8" t="s">
        <v>155</v>
      </c>
      <c r="B120" s="8" t="s">
        <v>156</v>
      </c>
      <c r="C120" s="8" t="s">
        <v>211</v>
      </c>
      <c r="D120" s="8">
        <v>29361</v>
      </c>
      <c r="E120" s="8" t="b">
        <v>0</v>
      </c>
      <c r="F120" s="8" t="b">
        <v>0</v>
      </c>
      <c r="G120" s="8">
        <v>261.74</v>
      </c>
      <c r="H120" s="8">
        <v>3899.47</v>
      </c>
      <c r="I120" s="8">
        <v>25461.53</v>
      </c>
      <c r="J120" s="8" t="b">
        <v>0</v>
      </c>
    </row>
    <row r="121" spans="1:10">
      <c r="A121" s="8" t="s">
        <v>55</v>
      </c>
      <c r="B121" s="8" t="s">
        <v>56</v>
      </c>
      <c r="C121" s="8" t="s">
        <v>212</v>
      </c>
      <c r="D121" s="8">
        <v>71916.17</v>
      </c>
      <c r="E121" s="8" t="b">
        <v>0</v>
      </c>
      <c r="F121" s="8" t="b">
        <v>0</v>
      </c>
      <c r="G121" s="8">
        <v>8250.99</v>
      </c>
      <c r="H121" s="8">
        <v>55479.07</v>
      </c>
      <c r="I121" s="8">
        <v>16437.099999999999</v>
      </c>
      <c r="J121" s="8" t="b">
        <v>0</v>
      </c>
    </row>
    <row r="122" spans="1:10">
      <c r="A122" s="8" t="s">
        <v>35</v>
      </c>
      <c r="B122" s="8" t="s">
        <v>36</v>
      </c>
      <c r="C122" s="8" t="s">
        <v>209</v>
      </c>
      <c r="D122" s="8">
        <v>21200</v>
      </c>
      <c r="E122" s="8" t="b">
        <v>0</v>
      </c>
      <c r="F122" s="8" t="b">
        <v>0</v>
      </c>
      <c r="G122" s="8">
        <v>871.8</v>
      </c>
      <c r="H122" s="8">
        <v>16793.099999999999</v>
      </c>
      <c r="I122" s="8">
        <v>4406.8999999999996</v>
      </c>
      <c r="J122" s="8" t="b">
        <v>0</v>
      </c>
    </row>
    <row r="123" spans="1:10">
      <c r="A123" s="8" t="s">
        <v>71</v>
      </c>
      <c r="B123" s="8" t="s">
        <v>72</v>
      </c>
      <c r="C123" s="8" t="s">
        <v>208</v>
      </c>
      <c r="D123" s="8">
        <v>155008</v>
      </c>
      <c r="E123" s="8" t="b">
        <v>0</v>
      </c>
      <c r="F123" s="8" t="b">
        <v>0</v>
      </c>
      <c r="G123" s="8">
        <v>13436.01</v>
      </c>
      <c r="H123" s="8">
        <v>150642.93</v>
      </c>
      <c r="I123" s="8">
        <v>4365.07</v>
      </c>
      <c r="J123" s="8" t="b">
        <v>0</v>
      </c>
    </row>
    <row r="124" spans="1:10">
      <c r="A124" s="8" t="s">
        <v>125</v>
      </c>
      <c r="B124" s="8" t="s">
        <v>126</v>
      </c>
      <c r="C124" s="8" t="s">
        <v>210</v>
      </c>
      <c r="D124" s="8">
        <v>84791</v>
      </c>
      <c r="E124" s="8" t="b">
        <v>0</v>
      </c>
      <c r="F124" s="8" t="b">
        <v>0</v>
      </c>
      <c r="G124" s="8">
        <v>7663.28</v>
      </c>
      <c r="H124" s="8">
        <v>90736.8</v>
      </c>
      <c r="I124" s="8">
        <v>-5945.8</v>
      </c>
      <c r="J124" s="8" t="b">
        <v>0</v>
      </c>
    </row>
    <row r="125" spans="1:10">
      <c r="A125" s="8" t="s">
        <v>171</v>
      </c>
      <c r="B125" s="8" t="s">
        <v>172</v>
      </c>
      <c r="C125" s="8" t="s">
        <v>211</v>
      </c>
      <c r="D125" s="8">
        <v>88963.46</v>
      </c>
      <c r="E125" s="8" t="b">
        <v>0</v>
      </c>
      <c r="F125" s="8" t="b">
        <v>0</v>
      </c>
      <c r="G125" s="8">
        <v>5005.25</v>
      </c>
      <c r="H125" s="8">
        <v>76164.45</v>
      </c>
      <c r="I125" s="8">
        <v>12799.01</v>
      </c>
      <c r="J125" s="8" t="b">
        <v>0</v>
      </c>
    </row>
    <row r="126" spans="1:10">
      <c r="A126" s="8" t="s">
        <v>129</v>
      </c>
      <c r="B126" s="8" t="s">
        <v>130</v>
      </c>
      <c r="C126" s="8" t="s">
        <v>211</v>
      </c>
      <c r="D126" s="8">
        <v>54176.800000000003</v>
      </c>
      <c r="E126" s="8" t="b">
        <v>0</v>
      </c>
      <c r="F126" s="8" t="b">
        <v>0</v>
      </c>
      <c r="G126" s="8">
        <v>0</v>
      </c>
      <c r="H126" s="8">
        <v>63416.31</v>
      </c>
      <c r="I126" s="8">
        <v>-9239.51</v>
      </c>
      <c r="J126" s="8" t="b">
        <v>0</v>
      </c>
    </row>
    <row r="127" spans="1:10">
      <c r="A127" s="8" t="s">
        <v>41</v>
      </c>
      <c r="B127" s="8" t="s">
        <v>42</v>
      </c>
      <c r="C127" s="8" t="s">
        <v>207</v>
      </c>
      <c r="D127" s="8">
        <v>161674.07</v>
      </c>
      <c r="E127" s="8" t="b">
        <v>0</v>
      </c>
      <c r="F127" s="8" t="b">
        <v>0</v>
      </c>
      <c r="G127" s="8">
        <v>15371.62</v>
      </c>
      <c r="H127" s="8">
        <v>156996.4</v>
      </c>
      <c r="I127" s="8">
        <v>4677.67</v>
      </c>
      <c r="J127" s="8" t="b">
        <v>0</v>
      </c>
    </row>
    <row r="128" spans="1:10">
      <c r="A128" s="8" t="s">
        <v>33</v>
      </c>
      <c r="B128" s="8" t="s">
        <v>34</v>
      </c>
      <c r="C128" s="8" t="s">
        <v>212</v>
      </c>
      <c r="D128" s="8">
        <v>44600</v>
      </c>
      <c r="E128" s="8" t="b">
        <v>0</v>
      </c>
      <c r="F128" s="8" t="b">
        <v>0</v>
      </c>
      <c r="G128" s="8">
        <v>5262.8</v>
      </c>
      <c r="H128" s="8">
        <v>38177.81</v>
      </c>
      <c r="I128" s="8">
        <v>6422.19</v>
      </c>
      <c r="J128" s="8" t="b">
        <v>0</v>
      </c>
    </row>
    <row r="129" spans="1:10">
      <c r="A129" s="8" t="s">
        <v>35</v>
      </c>
      <c r="B129" s="8" t="s">
        <v>36</v>
      </c>
      <c r="C129" s="8" t="s">
        <v>210</v>
      </c>
      <c r="D129" s="8">
        <v>47700</v>
      </c>
      <c r="E129" s="8" t="b">
        <v>0</v>
      </c>
      <c r="F129" s="8" t="b">
        <v>0</v>
      </c>
      <c r="G129" s="8">
        <v>2734.79</v>
      </c>
      <c r="H129" s="8">
        <v>34800.160000000003</v>
      </c>
      <c r="I129" s="8">
        <v>12899.84</v>
      </c>
      <c r="J129" s="8" t="b">
        <v>0</v>
      </c>
    </row>
    <row r="130" spans="1:10">
      <c r="A130" s="8" t="s">
        <v>149</v>
      </c>
      <c r="B130" s="8" t="s">
        <v>150</v>
      </c>
      <c r="C130" s="8" t="s">
        <v>212</v>
      </c>
      <c r="D130" s="8">
        <v>132426</v>
      </c>
      <c r="E130" s="8" t="b">
        <v>0</v>
      </c>
      <c r="F130" s="8" t="b">
        <v>0</v>
      </c>
      <c r="G130" s="8">
        <v>3088.15</v>
      </c>
      <c r="H130" s="8">
        <v>43262.31</v>
      </c>
      <c r="I130" s="8">
        <v>89163.69</v>
      </c>
      <c r="J130" s="8" t="b">
        <v>0</v>
      </c>
    </row>
    <row r="131" spans="1:10">
      <c r="A131" s="8" t="s">
        <v>181</v>
      </c>
      <c r="B131" s="8" t="s">
        <v>182</v>
      </c>
      <c r="C131" s="8" t="s">
        <v>207</v>
      </c>
      <c r="D131" s="8">
        <v>135661.01</v>
      </c>
      <c r="E131" s="8" t="b">
        <v>0</v>
      </c>
      <c r="F131" s="8" t="b">
        <v>0</v>
      </c>
      <c r="G131" s="8">
        <v>11762.77</v>
      </c>
      <c r="H131" s="8">
        <v>138147.34</v>
      </c>
      <c r="I131" s="8">
        <v>-2486.33</v>
      </c>
      <c r="J131" s="8" t="b">
        <v>0</v>
      </c>
    </row>
    <row r="132" spans="1:10">
      <c r="A132" s="8" t="s">
        <v>53</v>
      </c>
      <c r="B132" s="8" t="s">
        <v>54</v>
      </c>
      <c r="C132" s="8" t="s">
        <v>211</v>
      </c>
      <c r="D132" s="8">
        <v>37096</v>
      </c>
      <c r="E132" s="8" t="b">
        <v>0</v>
      </c>
      <c r="F132" s="8" t="b">
        <v>0</v>
      </c>
      <c r="G132" s="8">
        <v>1143.46</v>
      </c>
      <c r="H132" s="8">
        <v>28883.22</v>
      </c>
      <c r="I132" s="8">
        <v>8212.7800000000007</v>
      </c>
      <c r="J132" s="8" t="b">
        <v>0</v>
      </c>
    </row>
    <row r="133" spans="1:10">
      <c r="A133" s="8" t="s">
        <v>131</v>
      </c>
      <c r="B133" s="8" t="s">
        <v>132</v>
      </c>
      <c r="C133" s="8" t="s">
        <v>211</v>
      </c>
      <c r="D133" s="8">
        <v>31676.55</v>
      </c>
      <c r="E133" s="8" t="b">
        <v>0</v>
      </c>
      <c r="F133" s="8" t="b">
        <v>0</v>
      </c>
      <c r="G133" s="8">
        <v>0</v>
      </c>
      <c r="H133" s="8">
        <v>29833.95</v>
      </c>
      <c r="I133" s="8">
        <v>1842.6</v>
      </c>
      <c r="J133" s="8" t="b">
        <v>0</v>
      </c>
    </row>
    <row r="134" spans="1:10">
      <c r="A134" s="8" t="s">
        <v>195</v>
      </c>
      <c r="B134" s="8" t="s">
        <v>196</v>
      </c>
      <c r="C134" s="8" t="s">
        <v>211</v>
      </c>
      <c r="D134" s="8">
        <v>19908</v>
      </c>
      <c r="E134" s="8" t="b">
        <v>0</v>
      </c>
      <c r="F134" s="8" t="b">
        <v>0</v>
      </c>
      <c r="G134" s="8">
        <v>1750.12</v>
      </c>
      <c r="H134" s="8">
        <v>19877.080000000002</v>
      </c>
      <c r="I134" s="8">
        <v>30.92</v>
      </c>
      <c r="J134" s="8" t="b">
        <v>0</v>
      </c>
    </row>
    <row r="135" spans="1:10">
      <c r="A135" s="8" t="s">
        <v>99</v>
      </c>
      <c r="B135" s="8" t="s">
        <v>100</v>
      </c>
      <c r="C135" s="8" t="s">
        <v>208</v>
      </c>
      <c r="D135" s="8">
        <v>718890</v>
      </c>
      <c r="E135" s="8" t="b">
        <v>0</v>
      </c>
      <c r="F135" s="8" t="b">
        <v>0</v>
      </c>
      <c r="G135" s="8">
        <v>45225.05</v>
      </c>
      <c r="H135" s="8">
        <v>694202.76</v>
      </c>
      <c r="I135" s="8">
        <v>24687.24</v>
      </c>
      <c r="J135" s="8" t="b">
        <v>0</v>
      </c>
    </row>
    <row r="136" spans="1:10">
      <c r="A136" s="8" t="s">
        <v>71</v>
      </c>
      <c r="B136" s="8" t="s">
        <v>72</v>
      </c>
      <c r="C136" s="8" t="s">
        <v>211</v>
      </c>
      <c r="D136" s="8">
        <v>16608</v>
      </c>
      <c r="E136" s="8" t="b">
        <v>0</v>
      </c>
      <c r="F136" s="8" t="b">
        <v>0</v>
      </c>
      <c r="G136" s="8">
        <v>2956.33</v>
      </c>
      <c r="H136" s="8">
        <v>15429.07</v>
      </c>
      <c r="I136" s="8">
        <v>1178.93</v>
      </c>
      <c r="J136" s="8" t="b">
        <v>0</v>
      </c>
    </row>
    <row r="137" spans="1:10">
      <c r="A137" s="8" t="s">
        <v>87</v>
      </c>
      <c r="B137" s="8" t="s">
        <v>88</v>
      </c>
      <c r="C137" s="8" t="s">
        <v>209</v>
      </c>
      <c r="D137" s="8">
        <v>44369.93</v>
      </c>
      <c r="E137" s="8" t="b">
        <v>0</v>
      </c>
      <c r="F137" s="8" t="b">
        <v>0</v>
      </c>
      <c r="G137" s="8">
        <v>5947.43</v>
      </c>
      <c r="H137" s="8">
        <v>38229.699999999997</v>
      </c>
      <c r="I137" s="8">
        <v>6140.23</v>
      </c>
      <c r="J137" s="8" t="b">
        <v>0</v>
      </c>
    </row>
    <row r="138" spans="1:10">
      <c r="A138" s="8" t="s">
        <v>181</v>
      </c>
      <c r="B138" s="8" t="s">
        <v>182</v>
      </c>
      <c r="C138" s="8" t="s">
        <v>212</v>
      </c>
      <c r="D138" s="8">
        <v>12426.81</v>
      </c>
      <c r="E138" s="8" t="b">
        <v>0</v>
      </c>
      <c r="F138" s="8" t="b">
        <v>0</v>
      </c>
      <c r="G138" s="8">
        <v>504.62</v>
      </c>
      <c r="H138" s="8">
        <v>11782.88</v>
      </c>
      <c r="I138" s="8">
        <v>643.92999999999995</v>
      </c>
      <c r="J138" s="8" t="b">
        <v>0</v>
      </c>
    </row>
    <row r="139" spans="1:10">
      <c r="A139" s="8" t="s">
        <v>171</v>
      </c>
      <c r="B139" s="8" t="s">
        <v>172</v>
      </c>
      <c r="C139" s="8" t="s">
        <v>208</v>
      </c>
      <c r="D139" s="8">
        <v>807211.62</v>
      </c>
      <c r="E139" s="8" t="b">
        <v>0</v>
      </c>
      <c r="F139" s="8" t="b">
        <v>0</v>
      </c>
      <c r="G139" s="8">
        <v>136169.43</v>
      </c>
      <c r="H139" s="8">
        <v>666404.43000000005</v>
      </c>
      <c r="I139" s="8">
        <v>140807.19</v>
      </c>
      <c r="J139" s="8" t="b">
        <v>0</v>
      </c>
    </row>
    <row r="140" spans="1:10">
      <c r="A140" s="8" t="s">
        <v>77</v>
      </c>
      <c r="B140" s="8" t="s">
        <v>78</v>
      </c>
      <c r="C140" s="8" t="s">
        <v>211</v>
      </c>
      <c r="D140" s="8">
        <v>76581</v>
      </c>
      <c r="E140" s="8" t="b">
        <v>0</v>
      </c>
      <c r="F140" s="8" t="b">
        <v>0</v>
      </c>
      <c r="G140" s="8">
        <v>9534.9500000000007</v>
      </c>
      <c r="H140" s="8">
        <v>74516.800000000003</v>
      </c>
      <c r="I140" s="8">
        <v>2064.1999999999998</v>
      </c>
      <c r="J140" s="8" t="b">
        <v>0</v>
      </c>
    </row>
    <row r="141" spans="1:10">
      <c r="A141" s="8" t="s">
        <v>141</v>
      </c>
      <c r="B141" s="8" t="s">
        <v>142</v>
      </c>
      <c r="C141" s="8" t="s">
        <v>209</v>
      </c>
      <c r="D141" s="8">
        <v>69985.039999999994</v>
      </c>
      <c r="E141" s="8" t="b">
        <v>0</v>
      </c>
      <c r="F141" s="8" t="b">
        <v>0</v>
      </c>
      <c r="G141" s="8">
        <v>5717.56</v>
      </c>
      <c r="H141" s="8">
        <v>66615.91</v>
      </c>
      <c r="I141" s="8">
        <v>3369.13</v>
      </c>
      <c r="J141" s="8" t="b">
        <v>0</v>
      </c>
    </row>
    <row r="142" spans="1:10">
      <c r="A142" s="8" t="s">
        <v>141</v>
      </c>
      <c r="B142" s="8" t="s">
        <v>142</v>
      </c>
      <c r="C142" s="8" t="s">
        <v>210</v>
      </c>
      <c r="D142" s="8">
        <v>121655.07</v>
      </c>
      <c r="E142" s="8" t="b">
        <v>0</v>
      </c>
      <c r="F142" s="8" t="b">
        <v>0</v>
      </c>
      <c r="G142" s="8">
        <v>26867.59</v>
      </c>
      <c r="H142" s="8">
        <v>109025.89</v>
      </c>
      <c r="I142" s="8">
        <v>12629.18</v>
      </c>
      <c r="J142" s="8" t="b">
        <v>0</v>
      </c>
    </row>
    <row r="143" spans="1:10">
      <c r="A143" s="8" t="s">
        <v>129</v>
      </c>
      <c r="B143" s="8" t="s">
        <v>130</v>
      </c>
      <c r="C143" s="8" t="s">
        <v>208</v>
      </c>
      <c r="D143" s="8">
        <v>568034.29</v>
      </c>
      <c r="E143" s="8" t="b">
        <v>0</v>
      </c>
      <c r="F143" s="8" t="b">
        <v>0</v>
      </c>
      <c r="G143" s="8">
        <v>19529.38</v>
      </c>
      <c r="H143" s="8">
        <v>621795.15</v>
      </c>
      <c r="I143" s="8">
        <v>-53760.86</v>
      </c>
      <c r="J143" s="8" t="b">
        <v>0</v>
      </c>
    </row>
    <row r="144" spans="1:10">
      <c r="A144" s="8" t="s">
        <v>41</v>
      </c>
      <c r="B144" s="8" t="s">
        <v>42</v>
      </c>
      <c r="C144" s="8" t="s">
        <v>212</v>
      </c>
      <c r="D144" s="8">
        <v>25417</v>
      </c>
      <c r="E144" s="8" t="b">
        <v>0</v>
      </c>
      <c r="F144" s="8" t="b">
        <v>0</v>
      </c>
      <c r="G144" s="8">
        <v>727.03</v>
      </c>
      <c r="H144" s="8">
        <v>24768.84</v>
      </c>
      <c r="I144" s="8">
        <v>648.16</v>
      </c>
      <c r="J144" s="8" t="b">
        <v>0</v>
      </c>
    </row>
    <row r="145" spans="1:10">
      <c r="A145" s="8" t="s">
        <v>43</v>
      </c>
      <c r="B145" s="8" t="s">
        <v>44</v>
      </c>
      <c r="C145" s="8" t="s">
        <v>209</v>
      </c>
      <c r="D145" s="8">
        <v>23236</v>
      </c>
      <c r="E145" s="8" t="b">
        <v>0</v>
      </c>
      <c r="F145" s="8" t="b">
        <v>0</v>
      </c>
      <c r="G145" s="8">
        <v>1024.72</v>
      </c>
      <c r="H145" s="8">
        <v>23824.240000000002</v>
      </c>
      <c r="I145" s="8">
        <v>-588.24</v>
      </c>
      <c r="J145" s="8" t="b">
        <v>0</v>
      </c>
    </row>
    <row r="146" spans="1:10">
      <c r="A146" s="8" t="s">
        <v>43</v>
      </c>
      <c r="B146" s="8" t="s">
        <v>44</v>
      </c>
      <c r="C146" s="8" t="s">
        <v>210</v>
      </c>
      <c r="D146" s="8">
        <v>52281</v>
      </c>
      <c r="E146" s="8" t="b">
        <v>0</v>
      </c>
      <c r="F146" s="8" t="b">
        <v>0</v>
      </c>
      <c r="G146" s="8">
        <v>0</v>
      </c>
      <c r="H146" s="8">
        <v>56328.54</v>
      </c>
      <c r="I146" s="8">
        <v>-4047.54</v>
      </c>
      <c r="J146" s="8" t="b">
        <v>0</v>
      </c>
    </row>
    <row r="147" spans="1:10">
      <c r="A147" s="8" t="s">
        <v>131</v>
      </c>
      <c r="B147" s="8" t="s">
        <v>132</v>
      </c>
      <c r="C147" s="8" t="s">
        <v>208</v>
      </c>
      <c r="D147" s="8">
        <v>214823</v>
      </c>
      <c r="E147" s="8" t="b">
        <v>0</v>
      </c>
      <c r="F147" s="8" t="b">
        <v>0</v>
      </c>
      <c r="G147" s="8">
        <v>5121.84</v>
      </c>
      <c r="H147" s="8">
        <v>207462.63</v>
      </c>
      <c r="I147" s="8">
        <v>7360.37</v>
      </c>
      <c r="J147" s="8" t="b">
        <v>0</v>
      </c>
    </row>
    <row r="148" spans="1:10">
      <c r="A148" s="8" t="s">
        <v>83</v>
      </c>
      <c r="B148" s="8" t="s">
        <v>84</v>
      </c>
      <c r="C148" s="8" t="s">
        <v>207</v>
      </c>
      <c r="D148" s="8">
        <v>633192</v>
      </c>
      <c r="E148" s="8" t="b">
        <v>0</v>
      </c>
      <c r="F148" s="8" t="b">
        <v>0</v>
      </c>
      <c r="G148" s="8">
        <v>61713.22</v>
      </c>
      <c r="H148" s="8">
        <v>612021.28</v>
      </c>
      <c r="I148" s="8">
        <v>21170.720000000001</v>
      </c>
      <c r="J148" s="8" t="b">
        <v>0</v>
      </c>
    </row>
    <row r="149" spans="1:10">
      <c r="A149" s="8" t="s">
        <v>59</v>
      </c>
      <c r="B149" s="8" t="s">
        <v>60</v>
      </c>
      <c r="C149" s="8" t="s">
        <v>208</v>
      </c>
      <c r="D149" s="8">
        <v>146301.34</v>
      </c>
      <c r="E149" s="8" t="b">
        <v>0</v>
      </c>
      <c r="F149" s="8" t="b">
        <v>0</v>
      </c>
      <c r="G149" s="8">
        <v>2896.64</v>
      </c>
      <c r="H149" s="8">
        <v>146220.88</v>
      </c>
      <c r="I149" s="8">
        <v>80.459999999999994</v>
      </c>
      <c r="J149" s="8" t="b">
        <v>0</v>
      </c>
    </row>
    <row r="150" spans="1:10">
      <c r="A150" s="8" t="s">
        <v>47</v>
      </c>
      <c r="B150" s="8" t="s">
        <v>48</v>
      </c>
      <c r="C150" s="8" t="s">
        <v>212</v>
      </c>
      <c r="D150" s="8">
        <v>42993.84</v>
      </c>
      <c r="E150" s="8" t="b">
        <v>0</v>
      </c>
      <c r="F150" s="8" t="b">
        <v>0</v>
      </c>
      <c r="G150" s="8">
        <v>1346.79</v>
      </c>
      <c r="H150" s="8">
        <v>45650.3</v>
      </c>
      <c r="I150" s="8">
        <v>-2656.46</v>
      </c>
      <c r="J150" s="8" t="b">
        <v>0</v>
      </c>
    </row>
    <row r="151" spans="1:10">
      <c r="A151" s="8" t="s">
        <v>49</v>
      </c>
      <c r="B151" s="8" t="s">
        <v>50</v>
      </c>
      <c r="C151" s="8" t="s">
        <v>207</v>
      </c>
      <c r="D151" s="8">
        <v>149968.95999999999</v>
      </c>
      <c r="E151" s="8" t="b">
        <v>0</v>
      </c>
      <c r="F151" s="8" t="b">
        <v>0</v>
      </c>
      <c r="G151" s="8">
        <v>17905.89</v>
      </c>
      <c r="H151" s="8">
        <v>127888.76</v>
      </c>
      <c r="I151" s="8">
        <v>22080.2</v>
      </c>
      <c r="J151" s="8" t="b">
        <v>0</v>
      </c>
    </row>
    <row r="152" spans="1:10">
      <c r="A152" s="8" t="s">
        <v>113</v>
      </c>
      <c r="B152" s="8" t="s">
        <v>114</v>
      </c>
      <c r="C152" s="8" t="s">
        <v>207</v>
      </c>
      <c r="D152" s="8">
        <v>605114</v>
      </c>
      <c r="E152" s="8" t="b">
        <v>0</v>
      </c>
      <c r="F152" s="8" t="b">
        <v>0</v>
      </c>
      <c r="G152" s="8">
        <v>20443.87</v>
      </c>
      <c r="H152" s="8">
        <v>591039.99</v>
      </c>
      <c r="I152" s="8">
        <v>14074.01</v>
      </c>
      <c r="J152" s="8" t="b">
        <v>0</v>
      </c>
    </row>
    <row r="153" spans="1:10">
      <c r="A153" s="8" t="s">
        <v>31</v>
      </c>
      <c r="B153" s="8" t="s">
        <v>32</v>
      </c>
      <c r="C153" s="8" t="s">
        <v>209</v>
      </c>
      <c r="D153" s="8">
        <v>45200.38</v>
      </c>
      <c r="E153" s="8" t="b">
        <v>0</v>
      </c>
      <c r="F153" s="8" t="b">
        <v>0</v>
      </c>
      <c r="G153" s="8">
        <v>5550.3</v>
      </c>
      <c r="H153" s="8">
        <v>32122.240000000002</v>
      </c>
      <c r="I153" s="8">
        <v>13078.14</v>
      </c>
      <c r="J153" s="8" t="b">
        <v>0</v>
      </c>
    </row>
    <row r="154" spans="1:10">
      <c r="A154" s="8" t="s">
        <v>31</v>
      </c>
      <c r="B154" s="8" t="s">
        <v>32</v>
      </c>
      <c r="C154" s="8" t="s">
        <v>210</v>
      </c>
      <c r="D154" s="8">
        <v>72285.289999999994</v>
      </c>
      <c r="E154" s="8" t="b">
        <v>0</v>
      </c>
      <c r="F154" s="8" t="b">
        <v>0</v>
      </c>
      <c r="G154" s="8">
        <v>1530.01</v>
      </c>
      <c r="H154" s="8">
        <v>64309.47</v>
      </c>
      <c r="I154" s="8">
        <v>7975.82</v>
      </c>
      <c r="J154" s="8" t="b">
        <v>0</v>
      </c>
    </row>
    <row r="155" spans="1:10">
      <c r="A155" s="8" t="s">
        <v>203</v>
      </c>
      <c r="B155" s="8" t="s">
        <v>204</v>
      </c>
      <c r="C155" s="8" t="s">
        <v>208</v>
      </c>
      <c r="D155" s="8">
        <v>234515</v>
      </c>
      <c r="E155" s="8" t="b">
        <v>0</v>
      </c>
      <c r="F155" s="8" t="b">
        <v>0</v>
      </c>
      <c r="G155" s="8">
        <v>23520.02</v>
      </c>
      <c r="H155" s="8">
        <v>147878.89000000001</v>
      </c>
      <c r="I155" s="8">
        <v>86636.11</v>
      </c>
      <c r="J155" s="8" t="b">
        <v>0</v>
      </c>
    </row>
    <row r="156" spans="1:10">
      <c r="A156" s="8" t="s">
        <v>205</v>
      </c>
      <c r="B156" s="8" t="s">
        <v>206</v>
      </c>
      <c r="C156" s="8" t="s">
        <v>207</v>
      </c>
      <c r="D156" s="8">
        <v>494489.32</v>
      </c>
      <c r="E156" s="8" t="b">
        <v>0</v>
      </c>
      <c r="F156" s="8" t="b">
        <v>0</v>
      </c>
      <c r="G156" s="8">
        <v>34433.800000000003</v>
      </c>
      <c r="H156" s="8">
        <v>474872.8</v>
      </c>
      <c r="I156" s="8">
        <v>19616.52</v>
      </c>
      <c r="J156" s="8" t="b">
        <v>0</v>
      </c>
    </row>
    <row r="157" spans="1:10">
      <c r="A157" s="8" t="s">
        <v>33</v>
      </c>
      <c r="B157" s="8" t="s">
        <v>34</v>
      </c>
      <c r="C157" s="8" t="s">
        <v>207</v>
      </c>
      <c r="D157" s="8">
        <v>267600</v>
      </c>
      <c r="E157" s="8" t="b">
        <v>0</v>
      </c>
      <c r="F157" s="8" t="b">
        <v>0</v>
      </c>
      <c r="G157" s="8">
        <v>0</v>
      </c>
      <c r="H157" s="8">
        <v>287455.3</v>
      </c>
      <c r="I157" s="8">
        <v>-19855.3</v>
      </c>
      <c r="J157" s="8" t="b">
        <v>0</v>
      </c>
    </row>
    <row r="158" spans="1:10">
      <c r="A158" s="8" t="s">
        <v>67</v>
      </c>
      <c r="B158" s="8" t="s">
        <v>68</v>
      </c>
      <c r="C158" s="8" t="s">
        <v>211</v>
      </c>
      <c r="D158" s="8">
        <v>27525</v>
      </c>
      <c r="E158" s="8" t="b">
        <v>0</v>
      </c>
      <c r="F158" s="8" t="b">
        <v>0</v>
      </c>
      <c r="G158" s="8">
        <v>4412.9399999999996</v>
      </c>
      <c r="H158" s="8">
        <v>18745.919999999998</v>
      </c>
      <c r="I158" s="8">
        <v>8779.08</v>
      </c>
      <c r="J158" s="8" t="b">
        <v>0</v>
      </c>
    </row>
    <row r="159" spans="1:10">
      <c r="A159" s="8" t="s">
        <v>69</v>
      </c>
      <c r="B159" s="8" t="s">
        <v>70</v>
      </c>
      <c r="C159" s="8" t="s">
        <v>209</v>
      </c>
      <c r="D159" s="8">
        <v>116598.88</v>
      </c>
      <c r="E159" s="8" t="b">
        <v>0</v>
      </c>
      <c r="F159" s="8" t="b">
        <v>0</v>
      </c>
      <c r="G159" s="8">
        <v>6801.87</v>
      </c>
      <c r="H159" s="8">
        <v>48226.48</v>
      </c>
      <c r="I159" s="8">
        <v>68372.399999999994</v>
      </c>
      <c r="J159" s="8" t="b">
        <v>0</v>
      </c>
    </row>
    <row r="160" spans="1:10">
      <c r="A160" s="8" t="s">
        <v>69</v>
      </c>
      <c r="B160" s="8" t="s">
        <v>70</v>
      </c>
      <c r="C160" s="8" t="s">
        <v>210</v>
      </c>
      <c r="D160" s="8">
        <v>163426.13</v>
      </c>
      <c r="E160" s="8" t="b">
        <v>0</v>
      </c>
      <c r="F160" s="8" t="b">
        <v>0</v>
      </c>
      <c r="G160" s="8">
        <v>4505.74</v>
      </c>
      <c r="H160" s="8">
        <v>74254.66</v>
      </c>
      <c r="I160" s="8">
        <v>89171.47</v>
      </c>
      <c r="J160" s="8" t="b">
        <v>0</v>
      </c>
    </row>
    <row r="161" spans="1:10">
      <c r="A161" s="8" t="s">
        <v>155</v>
      </c>
      <c r="B161" s="8" t="s">
        <v>156</v>
      </c>
      <c r="C161" s="8" t="s">
        <v>208</v>
      </c>
      <c r="D161" s="8">
        <v>264249</v>
      </c>
      <c r="E161" s="8" t="b">
        <v>0</v>
      </c>
      <c r="F161" s="8" t="b">
        <v>0</v>
      </c>
      <c r="G161" s="8">
        <v>1294.51</v>
      </c>
      <c r="H161" s="8">
        <v>33539.79</v>
      </c>
      <c r="I161" s="8">
        <v>230709.21</v>
      </c>
      <c r="J161" s="8" t="b">
        <v>0</v>
      </c>
    </row>
    <row r="162" spans="1:10">
      <c r="A162" s="8" t="s">
        <v>149</v>
      </c>
      <c r="B162" s="8" t="s">
        <v>150</v>
      </c>
      <c r="C162" s="8" t="s">
        <v>207</v>
      </c>
      <c r="D162" s="8">
        <v>617988</v>
      </c>
      <c r="E162" s="8" t="b">
        <v>0</v>
      </c>
      <c r="F162" s="8" t="b">
        <v>0</v>
      </c>
      <c r="G162" s="8">
        <v>31195.439999999999</v>
      </c>
      <c r="H162" s="8">
        <v>183989.38</v>
      </c>
      <c r="I162" s="8">
        <v>433998.62</v>
      </c>
      <c r="J162" s="8" t="b">
        <v>0</v>
      </c>
    </row>
    <row r="163" spans="1:10">
      <c r="A163" s="8" t="s">
        <v>11</v>
      </c>
      <c r="B163" s="8" t="s">
        <v>12</v>
      </c>
      <c r="C163" s="8" t="s">
        <v>212</v>
      </c>
      <c r="D163" s="8">
        <v>34467.61</v>
      </c>
      <c r="E163" s="8" t="b">
        <v>0</v>
      </c>
      <c r="F163" s="8" t="b">
        <v>0</v>
      </c>
      <c r="G163" s="8">
        <v>1969.33</v>
      </c>
      <c r="H163" s="8">
        <v>33646.879999999997</v>
      </c>
      <c r="I163" s="8">
        <v>820.73</v>
      </c>
      <c r="J163" s="8" t="b">
        <v>0</v>
      </c>
    </row>
    <row r="164" spans="1:10">
      <c r="A164" s="8" t="s">
        <v>151</v>
      </c>
      <c r="B164" s="8" t="s">
        <v>152</v>
      </c>
      <c r="C164" s="8" t="s">
        <v>208</v>
      </c>
      <c r="D164" s="8">
        <v>180279.4</v>
      </c>
      <c r="E164" s="8" t="b">
        <v>0</v>
      </c>
      <c r="F164" s="8" t="b">
        <v>0</v>
      </c>
      <c r="G164" s="8">
        <v>12179.16</v>
      </c>
      <c r="H164" s="8">
        <v>163201.12</v>
      </c>
      <c r="I164" s="8">
        <v>17078.28</v>
      </c>
      <c r="J164" s="8" t="b">
        <v>0</v>
      </c>
    </row>
    <row r="165" spans="1:10">
      <c r="A165" s="8" t="s">
        <v>87</v>
      </c>
      <c r="B165" s="8" t="s">
        <v>88</v>
      </c>
      <c r="C165" s="8" t="s">
        <v>210</v>
      </c>
      <c r="D165" s="8">
        <v>77359.22</v>
      </c>
      <c r="E165" s="8" t="b">
        <v>0</v>
      </c>
      <c r="F165" s="8" t="b">
        <v>0</v>
      </c>
      <c r="G165" s="8">
        <v>15534.2</v>
      </c>
      <c r="H165" s="8">
        <v>63104.04</v>
      </c>
      <c r="I165" s="8">
        <v>14255.18</v>
      </c>
      <c r="J165" s="8" t="b">
        <v>0</v>
      </c>
    </row>
    <row r="166" spans="1:10">
      <c r="A166" s="8" t="s">
        <v>127</v>
      </c>
      <c r="B166" s="8" t="s">
        <v>128</v>
      </c>
      <c r="C166" s="8" t="s">
        <v>212</v>
      </c>
      <c r="D166" s="8">
        <v>67489.929999999993</v>
      </c>
      <c r="E166" s="8" t="b">
        <v>0</v>
      </c>
      <c r="F166" s="8" t="b">
        <v>0</v>
      </c>
      <c r="G166" s="8">
        <v>6809.44</v>
      </c>
      <c r="H166" s="8">
        <v>59907.19</v>
      </c>
      <c r="I166" s="8">
        <v>7582.74</v>
      </c>
      <c r="J166" s="8" t="b">
        <v>0</v>
      </c>
    </row>
    <row r="167" spans="1:10">
      <c r="A167" s="8" t="s">
        <v>45</v>
      </c>
      <c r="B167" s="8" t="s">
        <v>46</v>
      </c>
      <c r="C167" s="8" t="s">
        <v>208</v>
      </c>
      <c r="D167" s="8">
        <v>110908</v>
      </c>
      <c r="E167" s="8" t="b">
        <v>0</v>
      </c>
      <c r="F167" s="8" t="b">
        <v>0</v>
      </c>
      <c r="G167" s="8">
        <v>5461.75</v>
      </c>
      <c r="H167" s="8">
        <v>108000.17</v>
      </c>
      <c r="I167" s="8">
        <v>2907.83</v>
      </c>
      <c r="J167" s="8" t="b">
        <v>0</v>
      </c>
    </row>
    <row r="168" spans="1:10">
      <c r="A168" s="8" t="s">
        <v>175</v>
      </c>
      <c r="B168" s="8" t="s">
        <v>176</v>
      </c>
      <c r="C168" s="8" t="s">
        <v>212</v>
      </c>
      <c r="D168" s="8">
        <v>20820</v>
      </c>
      <c r="E168" s="8" t="b">
        <v>0</v>
      </c>
      <c r="F168" s="8" t="b">
        <v>0</v>
      </c>
      <c r="G168" s="8">
        <v>0</v>
      </c>
      <c r="H168" s="8">
        <v>21391.360000000001</v>
      </c>
      <c r="I168" s="8">
        <v>-571.36</v>
      </c>
      <c r="J168" s="8" t="b">
        <v>0</v>
      </c>
    </row>
    <row r="169" spans="1:10">
      <c r="A169" s="8" t="s">
        <v>65</v>
      </c>
      <c r="B169" s="8" t="s">
        <v>66</v>
      </c>
      <c r="C169" s="8" t="s">
        <v>208</v>
      </c>
      <c r="D169" s="8">
        <v>402845</v>
      </c>
      <c r="E169" s="8" t="b">
        <v>0</v>
      </c>
      <c r="F169" s="8" t="b">
        <v>0</v>
      </c>
      <c r="G169" s="8">
        <v>26573.99</v>
      </c>
      <c r="H169" s="8">
        <v>392363.42</v>
      </c>
      <c r="I169" s="8">
        <v>10481.58</v>
      </c>
      <c r="J169" s="8" t="b">
        <v>0</v>
      </c>
    </row>
    <row r="170" spans="1:10">
      <c r="A170" s="8" t="s">
        <v>53</v>
      </c>
      <c r="B170" s="8" t="s">
        <v>54</v>
      </c>
      <c r="C170" s="8" t="s">
        <v>208</v>
      </c>
      <c r="D170" s="8">
        <v>336149.85</v>
      </c>
      <c r="E170" s="8" t="b">
        <v>0</v>
      </c>
      <c r="F170" s="8" t="b">
        <v>0</v>
      </c>
      <c r="G170" s="8">
        <v>0</v>
      </c>
      <c r="H170" s="8">
        <v>298652.21999999997</v>
      </c>
      <c r="I170" s="8">
        <v>37497.629999999997</v>
      </c>
      <c r="J170" s="8" t="b">
        <v>0</v>
      </c>
    </row>
    <row r="171" spans="1:10">
      <c r="A171" s="8" t="s">
        <v>55</v>
      </c>
      <c r="B171" s="8" t="s">
        <v>56</v>
      </c>
      <c r="C171" s="8" t="s">
        <v>207</v>
      </c>
      <c r="D171" s="8">
        <v>452458.67</v>
      </c>
      <c r="E171" s="8" t="b">
        <v>0</v>
      </c>
      <c r="F171" s="8" t="b">
        <v>0</v>
      </c>
      <c r="G171" s="8">
        <v>33821.269999999997</v>
      </c>
      <c r="H171" s="8">
        <v>370192.39</v>
      </c>
      <c r="I171" s="8">
        <v>82266.28</v>
      </c>
      <c r="J171" s="8" t="b">
        <v>0</v>
      </c>
    </row>
    <row r="172" spans="1:10">
      <c r="A172" s="8" t="s">
        <v>11</v>
      </c>
      <c r="B172" s="8" t="s">
        <v>12</v>
      </c>
      <c r="C172" s="8" t="s">
        <v>211</v>
      </c>
      <c r="D172" s="8">
        <v>34467.61</v>
      </c>
      <c r="E172" s="8" t="b">
        <v>0</v>
      </c>
      <c r="F172" s="8" t="b">
        <v>0</v>
      </c>
      <c r="G172" s="8">
        <v>1459.65</v>
      </c>
      <c r="H172" s="8">
        <v>32763.71</v>
      </c>
      <c r="I172" s="8">
        <v>1703.9</v>
      </c>
      <c r="J172" s="8" t="b">
        <v>0</v>
      </c>
    </row>
    <row r="173" spans="1:10">
      <c r="A173" s="8" t="s">
        <v>71</v>
      </c>
      <c r="B173" s="8" t="s">
        <v>72</v>
      </c>
      <c r="C173" s="8" t="s">
        <v>212</v>
      </c>
      <c r="D173" s="8">
        <v>22144</v>
      </c>
      <c r="E173" s="8" t="b">
        <v>0</v>
      </c>
      <c r="F173" s="8" t="b">
        <v>0</v>
      </c>
      <c r="G173" s="8">
        <v>3131.42</v>
      </c>
      <c r="H173" s="8">
        <v>21171.919999999998</v>
      </c>
      <c r="I173" s="8">
        <v>972.08</v>
      </c>
      <c r="J173" s="8" t="b">
        <v>0</v>
      </c>
    </row>
    <row r="174" spans="1:10">
      <c r="A174" s="8" t="s">
        <v>151</v>
      </c>
      <c r="B174" s="8" t="s">
        <v>152</v>
      </c>
      <c r="C174" s="8" t="s">
        <v>207</v>
      </c>
      <c r="D174" s="8">
        <v>144940.92000000001</v>
      </c>
      <c r="E174" s="8" t="b">
        <v>0</v>
      </c>
      <c r="F174" s="8" t="b">
        <v>0</v>
      </c>
      <c r="G174" s="8">
        <v>0</v>
      </c>
      <c r="H174" s="8">
        <v>137585.37</v>
      </c>
      <c r="I174" s="8">
        <v>7355.55</v>
      </c>
      <c r="J174" s="8" t="b">
        <v>0</v>
      </c>
    </row>
    <row r="175" spans="1:10">
      <c r="A175" s="8" t="s">
        <v>137</v>
      </c>
      <c r="B175" s="8" t="s">
        <v>138</v>
      </c>
      <c r="C175" s="8" t="s">
        <v>209</v>
      </c>
      <c r="D175" s="8">
        <v>97528</v>
      </c>
      <c r="E175" s="8" t="b">
        <v>0</v>
      </c>
      <c r="F175" s="8" t="b">
        <v>0</v>
      </c>
      <c r="G175" s="8">
        <v>12818.05</v>
      </c>
      <c r="H175" s="8">
        <v>88409.87</v>
      </c>
      <c r="I175" s="8">
        <v>9118.1299999999992</v>
      </c>
      <c r="J175" s="8" t="b">
        <v>0</v>
      </c>
    </row>
    <row r="176" spans="1:10">
      <c r="A176" s="8" t="s">
        <v>137</v>
      </c>
      <c r="B176" s="8" t="s">
        <v>138</v>
      </c>
      <c r="C176" s="8" t="s">
        <v>210</v>
      </c>
      <c r="D176" s="8">
        <v>170674</v>
      </c>
      <c r="E176" s="8" t="b">
        <v>0</v>
      </c>
      <c r="F176" s="8" t="b">
        <v>0</v>
      </c>
      <c r="G176" s="8">
        <v>7985.92</v>
      </c>
      <c r="H176" s="8">
        <v>169922.71</v>
      </c>
      <c r="I176" s="8">
        <v>751.29</v>
      </c>
      <c r="J176" s="8" t="b">
        <v>0</v>
      </c>
    </row>
    <row r="177" spans="1:10">
      <c r="A177" s="8" t="s">
        <v>169</v>
      </c>
      <c r="B177" s="8" t="s">
        <v>170</v>
      </c>
      <c r="C177" s="8" t="s">
        <v>209</v>
      </c>
      <c r="D177" s="8">
        <v>49801.79</v>
      </c>
      <c r="E177" s="8" t="b">
        <v>0</v>
      </c>
      <c r="F177" s="8" t="b">
        <v>0</v>
      </c>
      <c r="G177" s="8">
        <v>4810.3500000000004</v>
      </c>
      <c r="H177" s="8">
        <v>47295.31</v>
      </c>
      <c r="I177" s="8">
        <v>2506.48</v>
      </c>
      <c r="J177" s="8" t="b">
        <v>0</v>
      </c>
    </row>
    <row r="178" spans="1:10">
      <c r="A178" s="8" t="s">
        <v>169</v>
      </c>
      <c r="B178" s="8" t="s">
        <v>170</v>
      </c>
      <c r="C178" s="8" t="s">
        <v>210</v>
      </c>
      <c r="D178" s="8">
        <v>86995.66</v>
      </c>
      <c r="E178" s="8" t="b">
        <v>0</v>
      </c>
      <c r="F178" s="8" t="b">
        <v>0</v>
      </c>
      <c r="G178" s="8">
        <v>23406.52</v>
      </c>
      <c r="H178" s="8">
        <v>73574.2</v>
      </c>
      <c r="I178" s="8">
        <v>13421.46</v>
      </c>
      <c r="J178" s="8" t="b">
        <v>0</v>
      </c>
    </row>
    <row r="179" spans="1:10">
      <c r="A179" s="8" t="s">
        <v>181</v>
      </c>
      <c r="B179" s="8" t="s">
        <v>182</v>
      </c>
      <c r="C179" s="8" t="s">
        <v>211</v>
      </c>
      <c r="D179" s="8">
        <v>12426.81</v>
      </c>
      <c r="E179" s="8" t="b">
        <v>0</v>
      </c>
      <c r="F179" s="8" t="b">
        <v>0</v>
      </c>
      <c r="G179" s="8">
        <v>1782.95</v>
      </c>
      <c r="H179" s="8">
        <v>11606.08</v>
      </c>
      <c r="I179" s="8">
        <v>820.73</v>
      </c>
      <c r="J179" s="8" t="b">
        <v>0</v>
      </c>
    </row>
    <row r="180" spans="1:10">
      <c r="A180" s="8" t="s">
        <v>171</v>
      </c>
      <c r="B180" s="8" t="s">
        <v>172</v>
      </c>
      <c r="C180" s="8" t="s">
        <v>207</v>
      </c>
      <c r="D180" s="8">
        <v>869185.26</v>
      </c>
      <c r="E180" s="8" t="b">
        <v>0</v>
      </c>
      <c r="F180" s="8" t="b">
        <v>0</v>
      </c>
      <c r="G180" s="8">
        <v>110677.39</v>
      </c>
      <c r="H180" s="8">
        <v>829350.31</v>
      </c>
      <c r="I180" s="8">
        <v>39834.949999999997</v>
      </c>
      <c r="J180" s="8" t="b">
        <v>0</v>
      </c>
    </row>
    <row r="181" spans="1:10">
      <c r="A181" s="8" t="s">
        <v>127</v>
      </c>
      <c r="B181" s="8" t="s">
        <v>128</v>
      </c>
      <c r="C181" s="8" t="s">
        <v>211</v>
      </c>
      <c r="D181" s="8">
        <v>67489.919999999998</v>
      </c>
      <c r="E181" s="8" t="b">
        <v>0</v>
      </c>
      <c r="F181" s="8" t="b">
        <v>0</v>
      </c>
      <c r="G181" s="8">
        <v>5498.07</v>
      </c>
      <c r="H181" s="8">
        <v>65721.55</v>
      </c>
      <c r="I181" s="8">
        <v>1768.37</v>
      </c>
      <c r="J181" s="8" t="b">
        <v>0</v>
      </c>
    </row>
    <row r="182" spans="1:10">
      <c r="A182" s="8" t="s">
        <v>41</v>
      </c>
      <c r="B182" s="8" t="s">
        <v>42</v>
      </c>
      <c r="C182" s="8" t="s">
        <v>211</v>
      </c>
      <c r="D182" s="8">
        <v>19135.009999999998</v>
      </c>
      <c r="E182" s="8" t="b">
        <v>0</v>
      </c>
      <c r="F182" s="8" t="b">
        <v>0</v>
      </c>
      <c r="G182" s="8">
        <v>1523.7</v>
      </c>
      <c r="H182" s="8">
        <v>19742.61</v>
      </c>
      <c r="I182" s="8">
        <v>-607.6</v>
      </c>
      <c r="J182" s="8" t="b">
        <v>0</v>
      </c>
    </row>
    <row r="183" spans="1:10">
      <c r="A183" s="8" t="s">
        <v>107</v>
      </c>
      <c r="B183" s="8" t="s">
        <v>108</v>
      </c>
      <c r="C183" s="8" t="s">
        <v>210</v>
      </c>
      <c r="D183" s="8">
        <v>78635.19</v>
      </c>
      <c r="E183" s="8" t="b">
        <v>0</v>
      </c>
      <c r="F183" s="8" t="b">
        <v>0</v>
      </c>
      <c r="G183" s="8">
        <v>24310.39</v>
      </c>
      <c r="H183" s="8">
        <v>64264.85</v>
      </c>
      <c r="I183" s="8">
        <v>14370.34</v>
      </c>
      <c r="J183" s="8" t="b">
        <v>0</v>
      </c>
    </row>
    <row r="184" spans="1:10">
      <c r="A184" s="8" t="s">
        <v>83</v>
      </c>
      <c r="B184" s="8" t="s">
        <v>84</v>
      </c>
      <c r="C184" s="8" t="s">
        <v>208</v>
      </c>
      <c r="D184" s="8">
        <v>701034</v>
      </c>
      <c r="E184" s="8" t="b">
        <v>0</v>
      </c>
      <c r="F184" s="8" t="b">
        <v>0</v>
      </c>
      <c r="G184" s="8">
        <v>0</v>
      </c>
      <c r="H184" s="8">
        <v>707071.92</v>
      </c>
      <c r="I184" s="8">
        <v>-6037.92</v>
      </c>
      <c r="J184" s="8" t="b">
        <v>0</v>
      </c>
    </row>
    <row r="185" spans="1:10">
      <c r="A185" s="8" t="s">
        <v>45</v>
      </c>
      <c r="B185" s="8" t="s">
        <v>46</v>
      </c>
      <c r="C185" s="8" t="s">
        <v>207</v>
      </c>
      <c r="D185" s="8">
        <v>99025</v>
      </c>
      <c r="E185" s="8" t="b">
        <v>0</v>
      </c>
      <c r="F185" s="8" t="b">
        <v>0</v>
      </c>
      <c r="G185" s="8">
        <v>5399.31</v>
      </c>
      <c r="H185" s="8">
        <v>97550.71</v>
      </c>
      <c r="I185" s="8">
        <v>1474.29</v>
      </c>
      <c r="J185" s="8" t="b">
        <v>0</v>
      </c>
    </row>
    <row r="186" spans="1:10">
      <c r="A186" s="8" t="s">
        <v>47</v>
      </c>
      <c r="B186" s="8" t="s">
        <v>48</v>
      </c>
      <c r="C186" s="8" t="s">
        <v>211</v>
      </c>
      <c r="D186" s="8">
        <v>32299.85</v>
      </c>
      <c r="E186" s="8" t="b">
        <v>0</v>
      </c>
      <c r="F186" s="8" t="b">
        <v>0</v>
      </c>
      <c r="G186" s="8">
        <v>1409.78</v>
      </c>
      <c r="H186" s="8">
        <v>36040.51</v>
      </c>
      <c r="I186" s="8">
        <v>-3740.66</v>
      </c>
      <c r="J186" s="8" t="b">
        <v>0</v>
      </c>
    </row>
    <row r="187" spans="1:10">
      <c r="A187" s="8" t="s">
        <v>49</v>
      </c>
      <c r="B187" s="8" t="s">
        <v>50</v>
      </c>
      <c r="C187" s="8" t="s">
        <v>208</v>
      </c>
      <c r="D187" s="8">
        <v>166779.03</v>
      </c>
      <c r="E187" s="8" t="b">
        <v>0</v>
      </c>
      <c r="F187" s="8" t="b">
        <v>0</v>
      </c>
      <c r="G187" s="8">
        <v>10131.48</v>
      </c>
      <c r="H187" s="8">
        <v>149433.24</v>
      </c>
      <c r="I187" s="8">
        <v>17345.79</v>
      </c>
      <c r="J187" s="8" t="b">
        <v>0</v>
      </c>
    </row>
    <row r="188" spans="1:10">
      <c r="A188" s="8" t="s">
        <v>65</v>
      </c>
      <c r="B188" s="8" t="s">
        <v>66</v>
      </c>
      <c r="C188" s="8" t="s">
        <v>207</v>
      </c>
      <c r="D188" s="8">
        <v>311880</v>
      </c>
      <c r="E188" s="8" t="b">
        <v>0</v>
      </c>
      <c r="F188" s="8" t="b">
        <v>0</v>
      </c>
      <c r="G188" s="8">
        <v>23897.91</v>
      </c>
      <c r="H188" s="8">
        <v>283924.19</v>
      </c>
      <c r="I188" s="8">
        <v>27955.81</v>
      </c>
      <c r="J188" s="8" t="b">
        <v>0</v>
      </c>
    </row>
    <row r="189" spans="1:10">
      <c r="A189" s="8" t="s">
        <v>113</v>
      </c>
      <c r="B189" s="8" t="s">
        <v>114</v>
      </c>
      <c r="C189" s="8" t="s">
        <v>208</v>
      </c>
      <c r="D189" s="8">
        <v>563382</v>
      </c>
      <c r="E189" s="8" t="b">
        <v>0</v>
      </c>
      <c r="F189" s="8" t="b">
        <v>0</v>
      </c>
      <c r="G189" s="8">
        <v>25478.15</v>
      </c>
      <c r="H189" s="8">
        <v>518992.41</v>
      </c>
      <c r="I189" s="8">
        <v>44389.59</v>
      </c>
      <c r="J189" s="8" t="b">
        <v>0</v>
      </c>
    </row>
    <row r="190" spans="1:10">
      <c r="A190" s="8" t="s">
        <v>53</v>
      </c>
      <c r="B190" s="8" t="s">
        <v>54</v>
      </c>
      <c r="C190" s="8" t="s">
        <v>207</v>
      </c>
      <c r="D190" s="8">
        <v>361811.82</v>
      </c>
      <c r="E190" s="8" t="b">
        <v>0</v>
      </c>
      <c r="F190" s="8" t="b">
        <v>0</v>
      </c>
      <c r="G190" s="8">
        <v>27303.96</v>
      </c>
      <c r="H190" s="8">
        <v>291476.84000000003</v>
      </c>
      <c r="I190" s="8">
        <v>70334.98</v>
      </c>
      <c r="J190" s="8" t="b">
        <v>0</v>
      </c>
    </row>
    <row r="191" spans="1:10">
      <c r="A191" s="8" t="s">
        <v>203</v>
      </c>
      <c r="B191" s="8" t="s">
        <v>204</v>
      </c>
      <c r="C191" s="8" t="s">
        <v>207</v>
      </c>
      <c r="D191" s="8">
        <v>181560</v>
      </c>
      <c r="E191" s="8" t="b">
        <v>0</v>
      </c>
      <c r="F191" s="8" t="b">
        <v>0</v>
      </c>
      <c r="G191" s="8">
        <v>8404.75</v>
      </c>
      <c r="H191" s="8">
        <v>130904.53</v>
      </c>
      <c r="I191" s="8">
        <v>50655.47</v>
      </c>
      <c r="J191" s="8" t="b">
        <v>0</v>
      </c>
    </row>
    <row r="192" spans="1:10">
      <c r="A192" s="8" t="s">
        <v>33</v>
      </c>
      <c r="B192" s="8" t="s">
        <v>34</v>
      </c>
      <c r="C192" s="8" t="s">
        <v>208</v>
      </c>
      <c r="D192" s="8">
        <v>345650</v>
      </c>
      <c r="E192" s="8" t="b">
        <v>0</v>
      </c>
      <c r="F192" s="8" t="b">
        <v>0</v>
      </c>
      <c r="G192" s="8">
        <v>0</v>
      </c>
      <c r="H192" s="8">
        <v>351849.86</v>
      </c>
      <c r="I192" s="8">
        <v>-6199.86</v>
      </c>
      <c r="J192" s="8" t="b">
        <v>0</v>
      </c>
    </row>
    <row r="193" spans="1:10">
      <c r="A193" s="8" t="s">
        <v>155</v>
      </c>
      <c r="B193" s="8" t="s">
        <v>156</v>
      </c>
      <c r="C193" s="8" t="s">
        <v>207</v>
      </c>
      <c r="D193" s="8">
        <v>283823</v>
      </c>
      <c r="E193" s="8" t="b">
        <v>0</v>
      </c>
      <c r="F193" s="8" t="b">
        <v>0</v>
      </c>
      <c r="G193" s="8">
        <v>4177.55</v>
      </c>
      <c r="H193" s="8">
        <v>34870.019999999997</v>
      </c>
      <c r="I193" s="8">
        <v>248952.98</v>
      </c>
      <c r="J193" s="8" t="b">
        <v>0</v>
      </c>
    </row>
    <row r="194" spans="1:10">
      <c r="A194" s="8" t="s">
        <v>55</v>
      </c>
      <c r="B194" s="8" t="s">
        <v>56</v>
      </c>
      <c r="C194" s="8" t="s">
        <v>208</v>
      </c>
      <c r="D194" s="8">
        <v>569403.25</v>
      </c>
      <c r="E194" s="8" t="b">
        <v>0</v>
      </c>
      <c r="F194" s="8" t="b">
        <v>0</v>
      </c>
      <c r="G194" s="8">
        <v>15508.9</v>
      </c>
      <c r="H194" s="8">
        <v>510519.76</v>
      </c>
      <c r="I194" s="8">
        <v>58883.49</v>
      </c>
      <c r="J194" s="8" t="b">
        <v>0</v>
      </c>
    </row>
    <row r="195" spans="1:10">
      <c r="A195" s="8" t="s">
        <v>149</v>
      </c>
      <c r="B195" s="8" t="s">
        <v>150</v>
      </c>
      <c r="C195" s="8" t="s">
        <v>208</v>
      </c>
      <c r="D195" s="8">
        <v>684201</v>
      </c>
      <c r="E195" s="8" t="b">
        <v>0</v>
      </c>
      <c r="F195" s="8" t="b">
        <v>0</v>
      </c>
      <c r="G195" s="8">
        <v>16292.51</v>
      </c>
      <c r="H195" s="8">
        <v>194927.93</v>
      </c>
      <c r="I195" s="8">
        <v>489273.07</v>
      </c>
      <c r="J195" s="8" t="b">
        <v>0</v>
      </c>
    </row>
    <row r="196" spans="1:10">
      <c r="A196" s="8" t="s">
        <v>195</v>
      </c>
      <c r="B196" s="8" t="s">
        <v>196</v>
      </c>
      <c r="C196" s="8" t="s">
        <v>212</v>
      </c>
      <c r="D196" s="8">
        <v>26544</v>
      </c>
      <c r="E196" s="8" t="b">
        <v>0</v>
      </c>
      <c r="F196" s="8" t="b">
        <v>0</v>
      </c>
      <c r="G196" s="8">
        <v>3009.81</v>
      </c>
      <c r="H196" s="8">
        <v>24516.59</v>
      </c>
      <c r="I196" s="8">
        <v>2027.41</v>
      </c>
      <c r="J196" s="8" t="b">
        <v>0</v>
      </c>
    </row>
    <row r="197" spans="1:10">
      <c r="A197" s="8" t="s">
        <v>129</v>
      </c>
      <c r="B197" s="8" t="s">
        <v>130</v>
      </c>
      <c r="C197" s="8" t="s">
        <v>207</v>
      </c>
      <c r="D197" s="8">
        <v>454148.79</v>
      </c>
      <c r="E197" s="8" t="b">
        <v>0</v>
      </c>
      <c r="F197" s="8" t="b">
        <v>0</v>
      </c>
      <c r="G197" s="8">
        <v>53256.69</v>
      </c>
      <c r="H197" s="8">
        <v>486503.19</v>
      </c>
      <c r="I197" s="8">
        <v>-32354.400000000001</v>
      </c>
      <c r="J197" s="8" t="b">
        <v>0</v>
      </c>
    </row>
    <row r="198" spans="1:10">
      <c r="A198" s="8" t="s">
        <v>131</v>
      </c>
      <c r="B198" s="8" t="s">
        <v>132</v>
      </c>
      <c r="C198" s="8" t="s">
        <v>207</v>
      </c>
      <c r="D198" s="8">
        <v>340728.89</v>
      </c>
      <c r="E198" s="8" t="b">
        <v>0</v>
      </c>
      <c r="F198" s="8" t="b">
        <v>0</v>
      </c>
      <c r="G198" s="8">
        <v>24666.05</v>
      </c>
      <c r="H198" s="8">
        <v>320374.43</v>
      </c>
      <c r="I198" s="8">
        <v>20354.46</v>
      </c>
      <c r="J198" s="8" t="b">
        <v>0</v>
      </c>
    </row>
    <row r="199" spans="1:10">
      <c r="A199" s="8" t="s">
        <v>107</v>
      </c>
      <c r="B199" s="8" t="s">
        <v>108</v>
      </c>
      <c r="C199" s="8" t="s">
        <v>209</v>
      </c>
      <c r="D199" s="8">
        <v>48999.51</v>
      </c>
      <c r="E199" s="8" t="b">
        <v>0</v>
      </c>
      <c r="F199" s="8" t="b">
        <v>0</v>
      </c>
      <c r="G199" s="8">
        <v>5139.74</v>
      </c>
      <c r="H199" s="8">
        <v>43789.27</v>
      </c>
      <c r="I199" s="8">
        <v>5210.24</v>
      </c>
      <c r="J199" s="8" t="b">
        <v>0</v>
      </c>
    </row>
    <row r="200" spans="1:10">
      <c r="A200" s="8" t="s">
        <v>59</v>
      </c>
      <c r="B200" s="8" t="s">
        <v>60</v>
      </c>
      <c r="C200" s="8" t="s">
        <v>207</v>
      </c>
      <c r="D200" s="8">
        <v>132975.74</v>
      </c>
      <c r="E200" s="8" t="b">
        <v>0</v>
      </c>
      <c r="F200" s="8" t="b">
        <v>0</v>
      </c>
      <c r="G200" s="8">
        <v>7807.63</v>
      </c>
      <c r="H200" s="8">
        <v>142073.66</v>
      </c>
      <c r="I200" s="8">
        <v>-9097.92</v>
      </c>
      <c r="J200" s="8" t="b">
        <v>0</v>
      </c>
    </row>
    <row r="201" spans="1:10">
      <c r="A201" s="8" t="s">
        <v>205</v>
      </c>
      <c r="B201" s="8" t="s">
        <v>206</v>
      </c>
      <c r="C201" s="8" t="s">
        <v>208</v>
      </c>
      <c r="D201" s="8">
        <v>313380.37</v>
      </c>
      <c r="E201" s="8" t="b">
        <v>0</v>
      </c>
      <c r="F201" s="8" t="b">
        <v>0</v>
      </c>
      <c r="G201" s="8">
        <v>17181.53</v>
      </c>
      <c r="H201" s="8">
        <v>290170.90000000002</v>
      </c>
      <c r="I201" s="8">
        <v>23209.47</v>
      </c>
      <c r="J201" s="8" t="b">
        <v>0</v>
      </c>
    </row>
    <row r="202" spans="1:10">
      <c r="A202" s="8" t="s">
        <v>67</v>
      </c>
      <c r="B202" s="8" t="s">
        <v>68</v>
      </c>
      <c r="C202" s="8" t="s">
        <v>212</v>
      </c>
      <c r="D202" s="8">
        <v>27525</v>
      </c>
      <c r="E202" s="8" t="b">
        <v>0</v>
      </c>
      <c r="F202" s="8" t="b">
        <v>0</v>
      </c>
      <c r="G202" s="8">
        <v>1888.72</v>
      </c>
      <c r="H202" s="8">
        <v>21769.75</v>
      </c>
      <c r="I202" s="8">
        <v>5755.25</v>
      </c>
      <c r="J202" s="8" t="b">
        <v>0</v>
      </c>
    </row>
    <row r="203" spans="1:10">
      <c r="A203" s="8" t="s">
        <v>77</v>
      </c>
      <c r="B203" s="8" t="s">
        <v>78</v>
      </c>
      <c r="C203" s="8" t="s">
        <v>212</v>
      </c>
      <c r="D203" s="8">
        <v>76581</v>
      </c>
      <c r="E203" s="8" t="b">
        <v>0</v>
      </c>
      <c r="F203" s="8" t="b">
        <v>0</v>
      </c>
      <c r="G203" s="8">
        <v>2170.41</v>
      </c>
      <c r="H203" s="8">
        <v>83243.09</v>
      </c>
      <c r="I203" s="8">
        <v>-6662.09</v>
      </c>
      <c r="J203" s="8" t="b">
        <v>0</v>
      </c>
    </row>
    <row r="204" spans="1:10">
      <c r="A204" s="8" t="s">
        <v>99</v>
      </c>
      <c r="B204" s="8" t="s">
        <v>100</v>
      </c>
      <c r="C204" s="8" t="s">
        <v>207</v>
      </c>
      <c r="D204" s="8">
        <v>649320</v>
      </c>
      <c r="E204" s="8" t="b">
        <v>0</v>
      </c>
      <c r="F204" s="8" t="b">
        <v>0</v>
      </c>
      <c r="G204" s="8">
        <v>62632.67</v>
      </c>
      <c r="H204" s="8">
        <v>659200.04</v>
      </c>
      <c r="I204" s="8">
        <v>-9880.0400000000009</v>
      </c>
      <c r="J204" s="8" t="b">
        <v>0</v>
      </c>
    </row>
    <row r="205" spans="1:10">
      <c r="A205" s="8" t="s">
        <v>175</v>
      </c>
      <c r="B205" s="8" t="s">
        <v>176</v>
      </c>
      <c r="C205" s="8" t="s">
        <v>211</v>
      </c>
      <c r="D205" s="8">
        <v>15615</v>
      </c>
      <c r="E205" s="8" t="b">
        <v>0</v>
      </c>
      <c r="F205" s="8" t="b">
        <v>0</v>
      </c>
      <c r="G205" s="8">
        <v>0</v>
      </c>
      <c r="H205" s="8">
        <v>17734.68</v>
      </c>
      <c r="I205" s="8">
        <v>-2119.6799999999998</v>
      </c>
      <c r="J205" s="8" t="b">
        <v>0</v>
      </c>
    </row>
    <row r="206" spans="1:10">
      <c r="A206" s="8" t="s">
        <v>11</v>
      </c>
      <c r="B206" s="8" t="s">
        <v>12</v>
      </c>
      <c r="C206" s="8" t="s">
        <v>208</v>
      </c>
      <c r="D206" s="8">
        <v>232248.25</v>
      </c>
      <c r="E206" s="8" t="b">
        <v>0</v>
      </c>
      <c r="F206" s="8" t="b">
        <v>0</v>
      </c>
      <c r="G206" s="8">
        <v>0</v>
      </c>
      <c r="H206" s="8">
        <v>232027.57</v>
      </c>
      <c r="I206" s="8">
        <v>220.68</v>
      </c>
      <c r="J206" s="8" t="b">
        <v>0</v>
      </c>
    </row>
    <row r="207" spans="1:10">
      <c r="A207" s="8" t="s">
        <v>37</v>
      </c>
      <c r="B207" s="8" t="s">
        <v>38</v>
      </c>
      <c r="C207" s="8" t="s">
        <v>209</v>
      </c>
      <c r="D207" s="8">
        <v>59808.11</v>
      </c>
      <c r="E207" s="8" t="b">
        <v>0</v>
      </c>
      <c r="F207" s="8" t="b">
        <v>0</v>
      </c>
      <c r="G207" s="8">
        <v>2058.58</v>
      </c>
      <c r="H207" s="8">
        <v>51385.69</v>
      </c>
      <c r="I207" s="8">
        <v>8422.42</v>
      </c>
      <c r="J207" s="8" t="b">
        <v>0</v>
      </c>
    </row>
    <row r="208" spans="1:10">
      <c r="A208" s="8" t="s">
        <v>37</v>
      </c>
      <c r="B208" s="8" t="s">
        <v>38</v>
      </c>
      <c r="C208" s="8" t="s">
        <v>210</v>
      </c>
      <c r="D208" s="8">
        <v>104525.85</v>
      </c>
      <c r="E208" s="8" t="b">
        <v>0</v>
      </c>
      <c r="F208" s="8" t="b">
        <v>0</v>
      </c>
      <c r="G208" s="8">
        <v>11417.55</v>
      </c>
      <c r="H208" s="8">
        <v>92987.91</v>
      </c>
      <c r="I208" s="8">
        <v>11537.94</v>
      </c>
      <c r="J208" s="8" t="b">
        <v>0</v>
      </c>
    </row>
    <row r="209" spans="1:10">
      <c r="A209" s="8" t="s">
        <v>99</v>
      </c>
      <c r="B209" s="8" t="s">
        <v>100</v>
      </c>
      <c r="C209" s="8" t="s">
        <v>212</v>
      </c>
      <c r="D209" s="8">
        <v>139140</v>
      </c>
      <c r="E209" s="8" t="b">
        <v>0</v>
      </c>
      <c r="F209" s="8" t="b">
        <v>0</v>
      </c>
      <c r="G209" s="8">
        <v>10714.68</v>
      </c>
      <c r="H209" s="8">
        <v>138860.19</v>
      </c>
      <c r="I209" s="8">
        <v>279.81</v>
      </c>
      <c r="J209" s="8" t="b">
        <v>0</v>
      </c>
    </row>
    <row r="210" spans="1:10">
      <c r="A210" s="8" t="s">
        <v>171</v>
      </c>
      <c r="B210" s="8" t="s">
        <v>172</v>
      </c>
      <c r="C210" s="8" t="s">
        <v>212</v>
      </c>
      <c r="D210" s="8">
        <v>88963.45</v>
      </c>
      <c r="E210" s="8" t="b">
        <v>0</v>
      </c>
      <c r="F210" s="8" t="b">
        <v>0</v>
      </c>
      <c r="G210" s="8">
        <v>10740.7</v>
      </c>
      <c r="H210" s="8">
        <v>77082.48</v>
      </c>
      <c r="I210" s="8">
        <v>11880.97</v>
      </c>
      <c r="J210" s="8" t="b">
        <v>0</v>
      </c>
    </row>
    <row r="211" spans="1:10">
      <c r="A211" s="8" t="s">
        <v>77</v>
      </c>
      <c r="B211" s="8" t="s">
        <v>78</v>
      </c>
      <c r="C211" s="8" t="s">
        <v>207</v>
      </c>
      <c r="D211" s="8">
        <v>740283</v>
      </c>
      <c r="E211" s="8" t="b">
        <v>0</v>
      </c>
      <c r="F211" s="8" t="b">
        <v>0</v>
      </c>
      <c r="G211" s="8">
        <v>124570.46</v>
      </c>
      <c r="H211" s="8">
        <v>688453.53</v>
      </c>
      <c r="I211" s="8">
        <v>51829.47</v>
      </c>
      <c r="J211" s="8" t="b">
        <v>0</v>
      </c>
    </row>
    <row r="212" spans="1:10">
      <c r="A212" s="8" t="s">
        <v>183</v>
      </c>
      <c r="B212" s="8" t="s">
        <v>184</v>
      </c>
      <c r="C212" s="8" t="s">
        <v>209</v>
      </c>
      <c r="D212" s="8">
        <v>87341.18</v>
      </c>
      <c r="E212" s="8" t="b">
        <v>0</v>
      </c>
      <c r="F212" s="8" t="b">
        <v>0</v>
      </c>
      <c r="G212" s="8">
        <v>18990.48</v>
      </c>
      <c r="H212" s="8">
        <v>69042.06</v>
      </c>
      <c r="I212" s="8">
        <v>18299.12</v>
      </c>
      <c r="J212" s="8" t="b">
        <v>0</v>
      </c>
    </row>
    <row r="213" spans="1:10">
      <c r="A213" s="8" t="s">
        <v>183</v>
      </c>
      <c r="B213" s="8" t="s">
        <v>184</v>
      </c>
      <c r="C213" s="8" t="s">
        <v>210</v>
      </c>
      <c r="D213" s="8">
        <v>139841.63</v>
      </c>
      <c r="E213" s="8" t="b">
        <v>0</v>
      </c>
      <c r="F213" s="8" t="b">
        <v>0</v>
      </c>
      <c r="G213" s="8">
        <v>21518.46</v>
      </c>
      <c r="H213" s="8">
        <v>129267.48</v>
      </c>
      <c r="I213" s="8">
        <v>10574.15</v>
      </c>
      <c r="J213" s="8" t="b">
        <v>0</v>
      </c>
    </row>
    <row r="214" spans="1:10">
      <c r="A214" s="8" t="s">
        <v>129</v>
      </c>
      <c r="B214" s="8" t="s">
        <v>130</v>
      </c>
      <c r="C214" s="8" t="s">
        <v>212</v>
      </c>
      <c r="D214" s="8">
        <v>71371.8</v>
      </c>
      <c r="E214" s="8" t="b">
        <v>0</v>
      </c>
      <c r="F214" s="8" t="b">
        <v>0</v>
      </c>
      <c r="G214" s="8">
        <v>7867.14</v>
      </c>
      <c r="H214" s="8">
        <v>67139.039999999994</v>
      </c>
      <c r="I214" s="8">
        <v>4232.76</v>
      </c>
      <c r="J214" s="8" t="b">
        <v>0</v>
      </c>
    </row>
    <row r="215" spans="1:10">
      <c r="A215" s="8" t="s">
        <v>143</v>
      </c>
      <c r="B215" s="8" t="s">
        <v>144</v>
      </c>
      <c r="C215" s="8" t="s">
        <v>210</v>
      </c>
      <c r="D215" s="8">
        <v>79188.320000000007</v>
      </c>
      <c r="E215" s="8" t="b">
        <v>0</v>
      </c>
      <c r="F215" s="8" t="b">
        <v>0</v>
      </c>
      <c r="G215" s="8">
        <v>4259.08</v>
      </c>
      <c r="H215" s="8">
        <v>80505.61</v>
      </c>
      <c r="I215" s="8">
        <v>-1317.29</v>
      </c>
      <c r="J215" s="8" t="b">
        <v>0</v>
      </c>
    </row>
    <row r="216" spans="1:10">
      <c r="A216" s="8" t="s">
        <v>41</v>
      </c>
      <c r="B216" s="8" t="s">
        <v>42</v>
      </c>
      <c r="C216" s="8" t="s">
        <v>208</v>
      </c>
      <c r="D216" s="8">
        <v>179797.56</v>
      </c>
      <c r="E216" s="8" t="b">
        <v>0</v>
      </c>
      <c r="F216" s="8" t="b">
        <v>0</v>
      </c>
      <c r="G216" s="8">
        <v>0</v>
      </c>
      <c r="H216" s="8">
        <v>194605.31</v>
      </c>
      <c r="I216" s="8">
        <v>-14807.75</v>
      </c>
      <c r="J216" s="8" t="b">
        <v>0</v>
      </c>
    </row>
    <row r="217" spans="1:10">
      <c r="A217" s="8" t="s">
        <v>131</v>
      </c>
      <c r="B217" s="8" t="s">
        <v>132</v>
      </c>
      <c r="C217" s="8" t="s">
        <v>212</v>
      </c>
      <c r="D217" s="8">
        <v>31676.560000000001</v>
      </c>
      <c r="E217" s="8" t="b">
        <v>0</v>
      </c>
      <c r="F217" s="8" t="b">
        <v>0</v>
      </c>
      <c r="G217" s="8">
        <v>4788.25</v>
      </c>
      <c r="H217" s="8">
        <v>26156.959999999999</v>
      </c>
      <c r="I217" s="8">
        <v>5519.6</v>
      </c>
      <c r="J217" s="8" t="b">
        <v>0</v>
      </c>
    </row>
    <row r="218" spans="1:10">
      <c r="A218" s="8" t="s">
        <v>83</v>
      </c>
      <c r="B218" s="8" t="s">
        <v>84</v>
      </c>
      <c r="C218" s="8" t="s">
        <v>211</v>
      </c>
      <c r="D218" s="8">
        <v>45228</v>
      </c>
      <c r="E218" s="8" t="b">
        <v>0</v>
      </c>
      <c r="F218" s="8" t="b">
        <v>0</v>
      </c>
      <c r="G218" s="8">
        <v>8337</v>
      </c>
      <c r="H218" s="8">
        <v>37952.11</v>
      </c>
      <c r="I218" s="8">
        <v>7275.89</v>
      </c>
      <c r="J218" s="8" t="b">
        <v>0</v>
      </c>
    </row>
    <row r="219" spans="1:10">
      <c r="A219" s="8" t="s">
        <v>85</v>
      </c>
      <c r="B219" s="8" t="s">
        <v>86</v>
      </c>
      <c r="C219" s="8" t="s">
        <v>209</v>
      </c>
      <c r="D219" s="8">
        <v>16625.14</v>
      </c>
      <c r="E219" s="8" t="b">
        <v>0</v>
      </c>
      <c r="F219" s="8" t="b">
        <v>0</v>
      </c>
      <c r="G219" s="8">
        <v>0</v>
      </c>
      <c r="H219" s="8">
        <v>15078.63</v>
      </c>
      <c r="I219" s="8">
        <v>1546.51</v>
      </c>
      <c r="J219" s="8" t="b">
        <v>0</v>
      </c>
    </row>
    <row r="220" spans="1:10">
      <c r="A220" s="8" t="s">
        <v>85</v>
      </c>
      <c r="B220" s="8" t="s">
        <v>86</v>
      </c>
      <c r="C220" s="8" t="s">
        <v>210</v>
      </c>
      <c r="D220" s="8">
        <v>29074.57</v>
      </c>
      <c r="E220" s="8" t="b">
        <v>0</v>
      </c>
      <c r="F220" s="8" t="b">
        <v>0</v>
      </c>
      <c r="G220" s="8">
        <v>1363.04</v>
      </c>
      <c r="H220" s="8">
        <v>27546.3</v>
      </c>
      <c r="I220" s="8">
        <v>1528.27</v>
      </c>
      <c r="J220" s="8" t="b">
        <v>0</v>
      </c>
    </row>
    <row r="221" spans="1:10">
      <c r="A221" s="8" t="s">
        <v>175</v>
      </c>
      <c r="B221" s="8" t="s">
        <v>176</v>
      </c>
      <c r="C221" s="8" t="s">
        <v>208</v>
      </c>
      <c r="D221" s="8">
        <v>145740</v>
      </c>
      <c r="E221" s="8" t="b">
        <v>0</v>
      </c>
      <c r="F221" s="8" t="b">
        <v>0</v>
      </c>
      <c r="G221" s="8">
        <v>19271.72</v>
      </c>
      <c r="H221" s="8">
        <v>136883.06</v>
      </c>
      <c r="I221" s="8">
        <v>8856.94</v>
      </c>
      <c r="J221" s="8" t="b">
        <v>0</v>
      </c>
    </row>
    <row r="222" spans="1:10">
      <c r="A222" s="8" t="s">
        <v>47</v>
      </c>
      <c r="B222" s="8" t="s">
        <v>48</v>
      </c>
      <c r="C222" s="8" t="s">
        <v>208</v>
      </c>
      <c r="D222" s="8">
        <v>302372.88</v>
      </c>
      <c r="E222" s="8" t="b">
        <v>0</v>
      </c>
      <c r="F222" s="8" t="b">
        <v>0</v>
      </c>
      <c r="G222" s="8">
        <v>35078.83</v>
      </c>
      <c r="H222" s="8">
        <v>297838.21000000002</v>
      </c>
      <c r="I222" s="8">
        <v>4534.67</v>
      </c>
      <c r="J222" s="8" t="b">
        <v>0</v>
      </c>
    </row>
    <row r="223" spans="1:10">
      <c r="A223" s="8" t="s">
        <v>159</v>
      </c>
      <c r="B223" s="8" t="s">
        <v>160</v>
      </c>
      <c r="C223" s="8" t="s">
        <v>209</v>
      </c>
      <c r="D223" s="8">
        <v>49429.26</v>
      </c>
      <c r="E223" s="8" t="b">
        <v>0</v>
      </c>
      <c r="F223" s="8" t="b">
        <v>0</v>
      </c>
      <c r="G223" s="8">
        <v>6426.49</v>
      </c>
      <c r="H223" s="8">
        <v>44767.66</v>
      </c>
      <c r="I223" s="8">
        <v>4661.6000000000004</v>
      </c>
      <c r="J223" s="8" t="b">
        <v>0</v>
      </c>
    </row>
    <row r="224" spans="1:10">
      <c r="A224" s="8" t="s">
        <v>93</v>
      </c>
      <c r="B224" s="8" t="s">
        <v>94</v>
      </c>
      <c r="C224" s="8" t="s">
        <v>209</v>
      </c>
      <c r="D224" s="8">
        <v>26134.69</v>
      </c>
      <c r="E224" s="8" t="b">
        <v>0</v>
      </c>
      <c r="F224" s="8" t="b">
        <v>0</v>
      </c>
      <c r="G224" s="8">
        <v>1787.43</v>
      </c>
      <c r="H224" s="8">
        <v>25286.240000000002</v>
      </c>
      <c r="I224" s="8">
        <v>848.45</v>
      </c>
      <c r="J224" s="8" t="b">
        <v>0</v>
      </c>
    </row>
    <row r="225" spans="1:10">
      <c r="A225" s="8" t="s">
        <v>93</v>
      </c>
      <c r="B225" s="8" t="s">
        <v>94</v>
      </c>
      <c r="C225" s="8" t="s">
        <v>210</v>
      </c>
      <c r="D225" s="8">
        <v>45681.15</v>
      </c>
      <c r="E225" s="8" t="b">
        <v>0</v>
      </c>
      <c r="F225" s="8" t="b">
        <v>0</v>
      </c>
      <c r="G225" s="8">
        <v>3689.46</v>
      </c>
      <c r="H225" s="8">
        <v>45364.84</v>
      </c>
      <c r="I225" s="8">
        <v>316.31</v>
      </c>
      <c r="J225" s="8" t="b">
        <v>0</v>
      </c>
    </row>
    <row r="226" spans="1:10">
      <c r="A226" s="8" t="s">
        <v>113</v>
      </c>
      <c r="B226" s="8" t="s">
        <v>114</v>
      </c>
      <c r="C226" s="8" t="s">
        <v>211</v>
      </c>
      <c r="D226" s="8">
        <v>62598</v>
      </c>
      <c r="E226" s="8" t="b">
        <v>0</v>
      </c>
      <c r="F226" s="8" t="b">
        <v>0</v>
      </c>
      <c r="G226" s="8">
        <v>5101.38</v>
      </c>
      <c r="H226" s="8">
        <v>60931.54</v>
      </c>
      <c r="I226" s="8">
        <v>1666.46</v>
      </c>
      <c r="J226" s="8" t="b">
        <v>0</v>
      </c>
    </row>
    <row r="227" spans="1:10">
      <c r="A227" s="8" t="s">
        <v>115</v>
      </c>
      <c r="B227" s="8" t="s">
        <v>116</v>
      </c>
      <c r="C227" s="8" t="s">
        <v>210</v>
      </c>
      <c r="D227" s="8">
        <v>39294</v>
      </c>
      <c r="E227" s="8" t="b">
        <v>0</v>
      </c>
      <c r="F227" s="8" t="b">
        <v>0</v>
      </c>
      <c r="G227" s="8">
        <v>1165.3399999999999</v>
      </c>
      <c r="H227" s="8">
        <v>31974.61</v>
      </c>
      <c r="I227" s="8">
        <v>7319.39</v>
      </c>
      <c r="J227" s="8" t="b">
        <v>0</v>
      </c>
    </row>
    <row r="228" spans="1:10">
      <c r="A228" s="8" t="s">
        <v>203</v>
      </c>
      <c r="B228" s="8" t="s">
        <v>204</v>
      </c>
      <c r="C228" s="8" t="s">
        <v>212</v>
      </c>
      <c r="D228" s="8">
        <v>30260</v>
      </c>
      <c r="E228" s="8" t="b">
        <v>0</v>
      </c>
      <c r="F228" s="8" t="b">
        <v>0</v>
      </c>
      <c r="G228" s="8">
        <v>2641.86</v>
      </c>
      <c r="H228" s="8">
        <v>19518.25</v>
      </c>
      <c r="I228" s="8">
        <v>10741.75</v>
      </c>
      <c r="J228" s="8" t="b">
        <v>0</v>
      </c>
    </row>
    <row r="229" spans="1:10">
      <c r="A229" s="8" t="s">
        <v>205</v>
      </c>
      <c r="B229" s="8" t="s">
        <v>206</v>
      </c>
      <c r="C229" s="8" t="s">
        <v>211</v>
      </c>
      <c r="D229" s="8">
        <v>45740.59</v>
      </c>
      <c r="E229" s="8" t="b">
        <v>0</v>
      </c>
      <c r="F229" s="8" t="b">
        <v>0</v>
      </c>
      <c r="G229" s="8">
        <v>0</v>
      </c>
      <c r="H229" s="8">
        <v>39569.79</v>
      </c>
      <c r="I229" s="8">
        <v>6170.8</v>
      </c>
      <c r="J229" s="8" t="b">
        <v>0</v>
      </c>
    </row>
    <row r="230" spans="1:10">
      <c r="A230" s="8" t="s">
        <v>33</v>
      </c>
      <c r="B230" s="8" t="s">
        <v>34</v>
      </c>
      <c r="C230" s="8" t="s">
        <v>211</v>
      </c>
      <c r="D230" s="8">
        <v>33450</v>
      </c>
      <c r="E230" s="8" t="b">
        <v>0</v>
      </c>
      <c r="F230" s="8" t="b">
        <v>0</v>
      </c>
      <c r="G230" s="8">
        <v>3284.05</v>
      </c>
      <c r="H230" s="8">
        <v>30718.240000000002</v>
      </c>
      <c r="I230" s="8">
        <v>2731.76</v>
      </c>
      <c r="J230" s="8" t="b">
        <v>0</v>
      </c>
    </row>
    <row r="231" spans="1:10">
      <c r="A231" s="8" t="s">
        <v>191</v>
      </c>
      <c r="B231" s="8" t="s">
        <v>192</v>
      </c>
      <c r="C231" s="8" t="s">
        <v>209</v>
      </c>
      <c r="D231" s="8">
        <v>44753.42</v>
      </c>
      <c r="E231" s="8" t="b">
        <v>0</v>
      </c>
      <c r="F231" s="8" t="b">
        <v>0</v>
      </c>
      <c r="G231" s="8">
        <v>1142.47</v>
      </c>
      <c r="H231" s="8">
        <v>40787.99</v>
      </c>
      <c r="I231" s="8">
        <v>3965.43</v>
      </c>
      <c r="J231" s="8" t="b">
        <v>0</v>
      </c>
    </row>
    <row r="232" spans="1:10">
      <c r="A232" s="8" t="s">
        <v>155</v>
      </c>
      <c r="B232" s="8" t="s">
        <v>156</v>
      </c>
      <c r="C232" s="8" t="s">
        <v>212</v>
      </c>
      <c r="D232" s="8">
        <v>29361</v>
      </c>
      <c r="E232" s="8" t="b">
        <v>0</v>
      </c>
      <c r="F232" s="8" t="b">
        <v>0</v>
      </c>
      <c r="G232" s="8">
        <v>329.09</v>
      </c>
      <c r="H232" s="8">
        <v>3576.67</v>
      </c>
      <c r="I232" s="8">
        <v>25784.33</v>
      </c>
      <c r="J232" s="8" t="b">
        <v>0</v>
      </c>
    </row>
    <row r="233" spans="1:10">
      <c r="A233" s="8" t="s">
        <v>55</v>
      </c>
      <c r="B233" s="8" t="s">
        <v>56</v>
      </c>
      <c r="C233" s="8" t="s">
        <v>211</v>
      </c>
      <c r="D233" s="8">
        <v>54461.15</v>
      </c>
      <c r="E233" s="8" t="b">
        <v>0</v>
      </c>
      <c r="F233" s="8" t="b">
        <v>0</v>
      </c>
      <c r="G233" s="8">
        <v>7681.32</v>
      </c>
      <c r="H233" s="8">
        <v>41570.58</v>
      </c>
      <c r="I233" s="8">
        <v>12890.57</v>
      </c>
      <c r="J233" s="8" t="b">
        <v>0</v>
      </c>
    </row>
    <row r="234" spans="1:10">
      <c r="A234" s="8" t="s">
        <v>149</v>
      </c>
      <c r="B234" s="8" t="s">
        <v>150</v>
      </c>
      <c r="C234" s="8" t="s">
        <v>211</v>
      </c>
      <c r="D234" s="8">
        <v>44142</v>
      </c>
      <c r="E234" s="8" t="b">
        <v>0</v>
      </c>
      <c r="F234" s="8" t="b">
        <v>0</v>
      </c>
      <c r="G234" s="8">
        <v>2701.22</v>
      </c>
      <c r="H234" s="8">
        <v>12267.02</v>
      </c>
      <c r="I234" s="8">
        <v>31874.98</v>
      </c>
      <c r="J234" s="8" t="b">
        <v>0</v>
      </c>
    </row>
    <row r="235" spans="1:10">
      <c r="A235" s="8" t="s">
        <v>195</v>
      </c>
      <c r="B235" s="8" t="s">
        <v>196</v>
      </c>
      <c r="C235" s="8" t="s">
        <v>207</v>
      </c>
      <c r="D235" s="8">
        <v>165900</v>
      </c>
      <c r="E235" s="8" t="b">
        <v>0</v>
      </c>
      <c r="F235" s="8" t="b">
        <v>0</v>
      </c>
      <c r="G235" s="8">
        <v>11284.34</v>
      </c>
      <c r="H235" s="8">
        <v>156686.28</v>
      </c>
      <c r="I235" s="8">
        <v>9213.7199999999993</v>
      </c>
      <c r="J235" s="8" t="b">
        <v>0</v>
      </c>
    </row>
    <row r="236" spans="1:10">
      <c r="A236" s="8" t="s">
        <v>71</v>
      </c>
      <c r="B236" s="8" t="s">
        <v>72</v>
      </c>
      <c r="C236" s="8" t="s">
        <v>207</v>
      </c>
      <c r="D236" s="8">
        <v>138400</v>
      </c>
      <c r="E236" s="8" t="b">
        <v>0</v>
      </c>
      <c r="F236" s="8" t="b">
        <v>0</v>
      </c>
      <c r="G236" s="8">
        <v>11806.81</v>
      </c>
      <c r="H236" s="8">
        <v>147878.70000000001</v>
      </c>
      <c r="I236" s="8">
        <v>-9478.7000000000007</v>
      </c>
      <c r="J236" s="8" t="b">
        <v>0</v>
      </c>
    </row>
    <row r="237" spans="1:10">
      <c r="A237" s="8" t="s">
        <v>151</v>
      </c>
      <c r="B237" s="8" t="s">
        <v>152</v>
      </c>
      <c r="C237" s="8" t="s">
        <v>212</v>
      </c>
      <c r="D237" s="8">
        <v>22543.81</v>
      </c>
      <c r="E237" s="8" t="b">
        <v>0</v>
      </c>
      <c r="F237" s="8" t="b">
        <v>0</v>
      </c>
      <c r="G237" s="8">
        <v>1685.05</v>
      </c>
      <c r="H237" s="8">
        <v>19431.5</v>
      </c>
      <c r="I237" s="8">
        <v>3112.31</v>
      </c>
      <c r="J237" s="8" t="b">
        <v>0</v>
      </c>
    </row>
    <row r="238" spans="1:10">
      <c r="A238" s="8" t="s">
        <v>181</v>
      </c>
      <c r="B238" s="8" t="s">
        <v>182</v>
      </c>
      <c r="C238" s="8" t="s">
        <v>208</v>
      </c>
      <c r="D238" s="8">
        <v>86827.98</v>
      </c>
      <c r="E238" s="8" t="b">
        <v>0</v>
      </c>
      <c r="F238" s="8" t="b">
        <v>0</v>
      </c>
      <c r="G238" s="8">
        <v>14880.03</v>
      </c>
      <c r="H238" s="8">
        <v>79992.03</v>
      </c>
      <c r="I238" s="8">
        <v>6835.95</v>
      </c>
      <c r="J238" s="8" t="b">
        <v>0</v>
      </c>
    </row>
    <row r="239" spans="1:10">
      <c r="A239" s="8" t="s">
        <v>143</v>
      </c>
      <c r="B239" s="8" t="s">
        <v>144</v>
      </c>
      <c r="C239" s="8" t="s">
        <v>209</v>
      </c>
      <c r="D239" s="8">
        <v>49476.79</v>
      </c>
      <c r="E239" s="8" t="b">
        <v>0</v>
      </c>
      <c r="F239" s="8" t="b">
        <v>0</v>
      </c>
      <c r="G239" s="8">
        <v>0</v>
      </c>
      <c r="H239" s="8">
        <v>49880.99</v>
      </c>
      <c r="I239" s="8">
        <v>-404.2</v>
      </c>
      <c r="J239" s="8" t="b">
        <v>0</v>
      </c>
    </row>
    <row r="240" spans="1:10">
      <c r="A240" s="8" t="s">
        <v>121</v>
      </c>
      <c r="B240" s="8" t="s">
        <v>122</v>
      </c>
      <c r="C240" s="8" t="s">
        <v>210</v>
      </c>
      <c r="D240" s="8">
        <v>96633.75</v>
      </c>
      <c r="E240" s="8" t="b">
        <v>0</v>
      </c>
      <c r="F240" s="8" t="b">
        <v>0</v>
      </c>
      <c r="G240" s="8">
        <v>6885.29</v>
      </c>
      <c r="H240" s="8">
        <v>102078.96</v>
      </c>
      <c r="I240" s="8">
        <v>-5445.21</v>
      </c>
      <c r="J240" s="8" t="b">
        <v>0</v>
      </c>
    </row>
    <row r="241" spans="1:10">
      <c r="A241" s="8" t="s">
        <v>45</v>
      </c>
      <c r="B241" s="8" t="s">
        <v>46</v>
      </c>
      <c r="C241" s="8" t="s">
        <v>212</v>
      </c>
      <c r="D241" s="8">
        <v>15844</v>
      </c>
      <c r="E241" s="8" t="b">
        <v>0</v>
      </c>
      <c r="F241" s="8" t="b">
        <v>0</v>
      </c>
      <c r="G241" s="8">
        <v>900.42</v>
      </c>
      <c r="H241" s="8">
        <v>14897.26</v>
      </c>
      <c r="I241" s="8">
        <v>946.74</v>
      </c>
      <c r="J241" s="8" t="b">
        <v>0</v>
      </c>
    </row>
    <row r="242" spans="1:10">
      <c r="A242" s="8" t="s">
        <v>49</v>
      </c>
      <c r="B242" s="8" t="s">
        <v>50</v>
      </c>
      <c r="C242" s="8" t="s">
        <v>211</v>
      </c>
      <c r="D242" s="8">
        <v>17749.38</v>
      </c>
      <c r="E242" s="8" t="b">
        <v>0</v>
      </c>
      <c r="F242" s="8" t="b">
        <v>0</v>
      </c>
      <c r="G242" s="8">
        <v>1630.74</v>
      </c>
      <c r="H242" s="8">
        <v>13942.13</v>
      </c>
      <c r="I242" s="8">
        <v>3807.25</v>
      </c>
      <c r="J242" s="8" t="b">
        <v>0</v>
      </c>
    </row>
    <row r="243" spans="1:10">
      <c r="A243" s="8" t="s">
        <v>67</v>
      </c>
      <c r="B243" s="8" t="s">
        <v>68</v>
      </c>
      <c r="C243" s="8" t="s">
        <v>207</v>
      </c>
      <c r="D243" s="8">
        <v>266075</v>
      </c>
      <c r="E243" s="8" t="b">
        <v>0</v>
      </c>
      <c r="F243" s="8" t="b">
        <v>0</v>
      </c>
      <c r="G243" s="8">
        <v>65624.72</v>
      </c>
      <c r="H243" s="8">
        <v>176400.77</v>
      </c>
      <c r="I243" s="8">
        <v>89674.23</v>
      </c>
      <c r="J243" s="8" t="b">
        <v>0</v>
      </c>
    </row>
    <row r="244" spans="1:10">
      <c r="A244" s="8" t="s">
        <v>127</v>
      </c>
      <c r="B244" s="8" t="s">
        <v>128</v>
      </c>
      <c r="C244" s="8" t="s">
        <v>208</v>
      </c>
      <c r="D244" s="8">
        <v>612723.56000000006</v>
      </c>
      <c r="E244" s="8" t="b">
        <v>0</v>
      </c>
      <c r="F244" s="8" t="b">
        <v>0</v>
      </c>
      <c r="G244" s="8">
        <v>113418.61</v>
      </c>
      <c r="H244" s="8">
        <v>505562.83</v>
      </c>
      <c r="I244" s="8">
        <v>107160.73</v>
      </c>
      <c r="J244" s="8" t="b">
        <v>0</v>
      </c>
    </row>
    <row r="245" spans="1:10">
      <c r="A245" s="8" t="s">
        <v>121</v>
      </c>
      <c r="B245" s="8" t="s">
        <v>122</v>
      </c>
      <c r="C245" s="8" t="s">
        <v>209</v>
      </c>
      <c r="D245" s="8">
        <v>43036.65</v>
      </c>
      <c r="E245" s="8" t="b">
        <v>0</v>
      </c>
      <c r="F245" s="8" t="b">
        <v>0</v>
      </c>
      <c r="G245" s="8">
        <v>5162.8999999999996</v>
      </c>
      <c r="H245" s="8">
        <v>40075.870000000003</v>
      </c>
      <c r="I245" s="8">
        <v>2960.78</v>
      </c>
      <c r="J245" s="8" t="b">
        <v>0</v>
      </c>
    </row>
    <row r="246" spans="1:10">
      <c r="A246" s="8" t="s">
        <v>159</v>
      </c>
      <c r="B246" s="8" t="s">
        <v>160</v>
      </c>
      <c r="C246" s="8" t="s">
        <v>210</v>
      </c>
      <c r="D246" s="8">
        <v>86398.76</v>
      </c>
      <c r="E246" s="8" t="b">
        <v>0</v>
      </c>
      <c r="F246" s="8" t="b">
        <v>0</v>
      </c>
      <c r="G246" s="8">
        <v>7211.57</v>
      </c>
      <c r="H246" s="8">
        <v>84390.61</v>
      </c>
      <c r="I246" s="8">
        <v>2008.15</v>
      </c>
      <c r="J246" s="8" t="b">
        <v>0</v>
      </c>
    </row>
    <row r="247" spans="1:10">
      <c r="A247" s="8" t="s">
        <v>65</v>
      </c>
      <c r="B247" s="8" t="s">
        <v>66</v>
      </c>
      <c r="C247" s="8" t="s">
        <v>212</v>
      </c>
      <c r="D247" s="8">
        <v>51980</v>
      </c>
      <c r="E247" s="8" t="b">
        <v>0</v>
      </c>
      <c r="F247" s="8" t="b">
        <v>0</v>
      </c>
      <c r="G247" s="8">
        <v>4067.15</v>
      </c>
      <c r="H247" s="8">
        <v>45168.01</v>
      </c>
      <c r="I247" s="8">
        <v>6811.99</v>
      </c>
      <c r="J247" s="8" t="b">
        <v>0</v>
      </c>
    </row>
    <row r="248" spans="1:10">
      <c r="A248" s="8" t="s">
        <v>53</v>
      </c>
      <c r="B248" s="8" t="s">
        <v>54</v>
      </c>
      <c r="C248" s="8" t="s">
        <v>212</v>
      </c>
      <c r="D248" s="8">
        <v>37095.99</v>
      </c>
      <c r="E248" s="8" t="b">
        <v>0</v>
      </c>
      <c r="F248" s="8" t="b">
        <v>0</v>
      </c>
      <c r="G248" s="8">
        <v>3792.33</v>
      </c>
      <c r="H248" s="8">
        <v>26725.41</v>
      </c>
      <c r="I248" s="8">
        <v>10370.58</v>
      </c>
      <c r="J248" s="8" t="b">
        <v>0</v>
      </c>
    </row>
    <row r="249" spans="1:10">
      <c r="A249" s="8" t="s">
        <v>115</v>
      </c>
      <c r="B249" s="8" t="s">
        <v>116</v>
      </c>
      <c r="C249" s="8" t="s">
        <v>209</v>
      </c>
      <c r="D249" s="8">
        <v>17464</v>
      </c>
      <c r="E249" s="8" t="b">
        <v>0</v>
      </c>
      <c r="F249" s="8" t="b">
        <v>0</v>
      </c>
      <c r="G249" s="8">
        <v>305.19</v>
      </c>
      <c r="H249" s="8">
        <v>14052.41</v>
      </c>
      <c r="I249" s="8">
        <v>3411.59</v>
      </c>
      <c r="J249" s="8" t="b">
        <v>0</v>
      </c>
    </row>
    <row r="250" spans="1:10">
      <c r="A250" s="8" t="s">
        <v>191</v>
      </c>
      <c r="B250" s="8" t="s">
        <v>192</v>
      </c>
      <c r="C250" s="8" t="s">
        <v>210</v>
      </c>
      <c r="D250" s="8">
        <v>62758.37</v>
      </c>
      <c r="E250" s="8" t="b">
        <v>0</v>
      </c>
      <c r="F250" s="8" t="b">
        <v>0</v>
      </c>
      <c r="G250" s="8">
        <v>4149.37</v>
      </c>
      <c r="H250" s="8">
        <v>53701.73</v>
      </c>
      <c r="I250" s="8">
        <v>9056.64</v>
      </c>
      <c r="J250" s="8" t="b">
        <v>0</v>
      </c>
    </row>
    <row r="251" spans="1:10">
      <c r="A251" s="8" t="s">
        <v>59</v>
      </c>
      <c r="B251" s="8" t="s">
        <v>60</v>
      </c>
      <c r="C251" s="8" t="s">
        <v>212</v>
      </c>
      <c r="D251" s="8">
        <v>20347.36</v>
      </c>
      <c r="E251" s="8" t="b">
        <v>0</v>
      </c>
      <c r="F251" s="8" t="b">
        <v>0</v>
      </c>
      <c r="G251" s="8">
        <v>1217.8</v>
      </c>
      <c r="H251" s="8">
        <v>20286.63</v>
      </c>
      <c r="I251" s="8">
        <v>60.73</v>
      </c>
      <c r="J251" s="8" t="b">
        <v>0</v>
      </c>
    </row>
    <row r="252" spans="1:10">
      <c r="A252" s="8" t="s">
        <v>37</v>
      </c>
      <c r="B252" s="8" t="s">
        <v>38</v>
      </c>
      <c r="C252" s="8" t="s">
        <v>207</v>
      </c>
      <c r="D252" s="8">
        <v>424743.83</v>
      </c>
      <c r="E252" s="8" t="b">
        <v>0</v>
      </c>
      <c r="F252" s="8" t="b">
        <v>0</v>
      </c>
      <c r="G252" s="8">
        <v>0</v>
      </c>
      <c r="H252" s="8">
        <v>429233.55</v>
      </c>
      <c r="I252" s="8">
        <v>-4489.72</v>
      </c>
      <c r="J252" s="8" t="b">
        <v>0</v>
      </c>
    </row>
    <row r="253" spans="1:10">
      <c r="A253" s="8" t="s">
        <v>71</v>
      </c>
      <c r="B253" s="8" t="s">
        <v>72</v>
      </c>
      <c r="C253" s="8" t="s">
        <v>209</v>
      </c>
      <c r="D253" s="8">
        <v>22144</v>
      </c>
      <c r="E253" s="8" t="b">
        <v>0</v>
      </c>
      <c r="F253" s="8" t="b">
        <v>0</v>
      </c>
      <c r="G253" s="8">
        <v>1745.12</v>
      </c>
      <c r="H253" s="8">
        <v>22309.62</v>
      </c>
      <c r="I253" s="8">
        <v>-165.62</v>
      </c>
      <c r="J253" s="8" t="b">
        <v>0</v>
      </c>
    </row>
    <row r="254" spans="1:10">
      <c r="A254" s="8" t="s">
        <v>125</v>
      </c>
      <c r="B254" s="8" t="s">
        <v>126</v>
      </c>
      <c r="C254" s="8" t="s">
        <v>208</v>
      </c>
      <c r="D254" s="8">
        <v>327051</v>
      </c>
      <c r="E254" s="8" t="b">
        <v>0</v>
      </c>
      <c r="F254" s="8" t="b">
        <v>0</v>
      </c>
      <c r="G254" s="8">
        <v>38033.910000000003</v>
      </c>
      <c r="H254" s="8">
        <v>315650.02</v>
      </c>
      <c r="I254" s="8">
        <v>11400.98</v>
      </c>
      <c r="J254" s="8" t="b">
        <v>0</v>
      </c>
    </row>
    <row r="255" spans="1:10">
      <c r="A255" s="8" t="s">
        <v>77</v>
      </c>
      <c r="B255" s="8" t="s">
        <v>78</v>
      </c>
      <c r="C255" s="8" t="s">
        <v>209</v>
      </c>
      <c r="D255" s="8">
        <v>127635</v>
      </c>
      <c r="E255" s="8" t="b">
        <v>0</v>
      </c>
      <c r="F255" s="8" t="b">
        <v>0</v>
      </c>
      <c r="G255" s="8">
        <v>0</v>
      </c>
      <c r="H255" s="8">
        <v>135081.85</v>
      </c>
      <c r="I255" s="8">
        <v>-7446.85</v>
      </c>
      <c r="J255" s="8" t="b">
        <v>0</v>
      </c>
    </row>
    <row r="256" spans="1:10">
      <c r="A256" s="8" t="s">
        <v>77</v>
      </c>
      <c r="B256" s="8" t="s">
        <v>78</v>
      </c>
      <c r="C256" s="8" t="s">
        <v>210</v>
      </c>
      <c r="D256" s="8">
        <v>178689</v>
      </c>
      <c r="E256" s="8" t="b">
        <v>0</v>
      </c>
      <c r="F256" s="8" t="b">
        <v>0</v>
      </c>
      <c r="G256" s="8">
        <v>8418.0400000000009</v>
      </c>
      <c r="H256" s="8">
        <v>205684.31</v>
      </c>
      <c r="I256" s="8">
        <v>-26995.31</v>
      </c>
      <c r="J256" s="8" t="b">
        <v>0</v>
      </c>
    </row>
    <row r="257" spans="1:10">
      <c r="A257" s="8" t="s">
        <v>143</v>
      </c>
      <c r="B257" s="8" t="s">
        <v>144</v>
      </c>
      <c r="C257" s="8" t="s">
        <v>207</v>
      </c>
      <c r="D257" s="8">
        <v>239728.43</v>
      </c>
      <c r="E257" s="8" t="b">
        <v>0</v>
      </c>
      <c r="F257" s="8" t="b">
        <v>0</v>
      </c>
      <c r="G257" s="8">
        <v>56924.03</v>
      </c>
      <c r="H257" s="8">
        <v>194453.06</v>
      </c>
      <c r="I257" s="8">
        <v>45275.37</v>
      </c>
      <c r="J257" s="8" t="b">
        <v>0</v>
      </c>
    </row>
    <row r="258" spans="1:10">
      <c r="A258" s="8" t="s">
        <v>43</v>
      </c>
      <c r="B258" s="8" t="s">
        <v>44</v>
      </c>
      <c r="C258" s="8" t="s">
        <v>211</v>
      </c>
      <c r="D258" s="8">
        <v>17427</v>
      </c>
      <c r="E258" s="8" t="b">
        <v>0</v>
      </c>
      <c r="F258" s="8" t="b">
        <v>0</v>
      </c>
      <c r="G258" s="8">
        <v>1950.36</v>
      </c>
      <c r="H258" s="8">
        <v>15218.34</v>
      </c>
      <c r="I258" s="8">
        <v>2208.66</v>
      </c>
      <c r="J258" s="8" t="b">
        <v>0</v>
      </c>
    </row>
    <row r="259" spans="1:10">
      <c r="A259" s="8" t="s">
        <v>107</v>
      </c>
      <c r="B259" s="8" t="s">
        <v>108</v>
      </c>
      <c r="C259" s="8" t="s">
        <v>212</v>
      </c>
      <c r="D259" s="8">
        <v>38727.67</v>
      </c>
      <c r="E259" s="8" t="b">
        <v>0</v>
      </c>
      <c r="F259" s="8" t="b">
        <v>0</v>
      </c>
      <c r="G259" s="8">
        <v>6013.93</v>
      </c>
      <c r="H259" s="8">
        <v>35052.82</v>
      </c>
      <c r="I259" s="8">
        <v>3674.85</v>
      </c>
      <c r="J259" s="8" t="b">
        <v>0</v>
      </c>
    </row>
    <row r="260" spans="1:10">
      <c r="A260" s="8" t="s">
        <v>85</v>
      </c>
      <c r="B260" s="8" t="s">
        <v>86</v>
      </c>
      <c r="C260" s="8" t="s">
        <v>207</v>
      </c>
      <c r="D260" s="8">
        <v>133622.82</v>
      </c>
      <c r="E260" s="8" t="b">
        <v>0</v>
      </c>
      <c r="F260" s="8" t="b">
        <v>0</v>
      </c>
      <c r="G260" s="8">
        <v>0</v>
      </c>
      <c r="H260" s="8">
        <v>132470.73000000001</v>
      </c>
      <c r="I260" s="8">
        <v>1152.0899999999999</v>
      </c>
      <c r="J260" s="8" t="b">
        <v>0</v>
      </c>
    </row>
    <row r="261" spans="1:10">
      <c r="A261" s="8" t="s">
        <v>159</v>
      </c>
      <c r="B261" s="8" t="s">
        <v>160</v>
      </c>
      <c r="C261" s="8" t="s">
        <v>207</v>
      </c>
      <c r="D261" s="8">
        <v>350512.09</v>
      </c>
      <c r="E261" s="8" t="b">
        <v>0</v>
      </c>
      <c r="F261" s="8" t="b">
        <v>0</v>
      </c>
      <c r="G261" s="8">
        <v>19256.89</v>
      </c>
      <c r="H261" s="8">
        <v>391861.81</v>
      </c>
      <c r="I261" s="8">
        <v>-41349.72</v>
      </c>
      <c r="J261" s="8" t="b">
        <v>0</v>
      </c>
    </row>
    <row r="262" spans="1:10">
      <c r="A262" s="8" t="s">
        <v>93</v>
      </c>
      <c r="B262" s="8" t="s">
        <v>94</v>
      </c>
      <c r="C262" s="8" t="s">
        <v>207</v>
      </c>
      <c r="D262" s="8">
        <v>185343.37</v>
      </c>
      <c r="E262" s="8" t="b">
        <v>0</v>
      </c>
      <c r="F262" s="8" t="b">
        <v>0</v>
      </c>
      <c r="G262" s="8">
        <v>20725.62</v>
      </c>
      <c r="H262" s="8">
        <v>186683.22</v>
      </c>
      <c r="I262" s="8">
        <v>-1339.85</v>
      </c>
      <c r="J262" s="8" t="b">
        <v>0</v>
      </c>
    </row>
    <row r="263" spans="1:10">
      <c r="A263" s="8" t="s">
        <v>31</v>
      </c>
      <c r="B263" s="8" t="s">
        <v>32</v>
      </c>
      <c r="C263" s="8" t="s">
        <v>211</v>
      </c>
      <c r="D263" s="8">
        <v>27084.91</v>
      </c>
      <c r="E263" s="8" t="b">
        <v>0</v>
      </c>
      <c r="F263" s="8" t="b">
        <v>0</v>
      </c>
      <c r="G263" s="8">
        <v>6430.68</v>
      </c>
      <c r="H263" s="8">
        <v>16636.62</v>
      </c>
      <c r="I263" s="8">
        <v>10448.290000000001</v>
      </c>
      <c r="J263" s="8" t="b">
        <v>0</v>
      </c>
    </row>
    <row r="264" spans="1:10">
      <c r="A264" s="8" t="s">
        <v>67</v>
      </c>
      <c r="B264" s="8" t="s">
        <v>68</v>
      </c>
      <c r="C264" s="8" t="s">
        <v>209</v>
      </c>
      <c r="D264" s="8">
        <v>45875</v>
      </c>
      <c r="E264" s="8" t="b">
        <v>0</v>
      </c>
      <c r="F264" s="8" t="b">
        <v>0</v>
      </c>
      <c r="G264" s="8">
        <v>2482.75</v>
      </c>
      <c r="H264" s="8">
        <v>36343.14</v>
      </c>
      <c r="I264" s="8">
        <v>9531.86</v>
      </c>
      <c r="J264" s="8" t="b">
        <v>0</v>
      </c>
    </row>
    <row r="265" spans="1:10">
      <c r="A265" s="8" t="s">
        <v>67</v>
      </c>
      <c r="B265" s="8" t="s">
        <v>68</v>
      </c>
      <c r="C265" s="8" t="s">
        <v>210</v>
      </c>
      <c r="D265" s="8">
        <v>64225</v>
      </c>
      <c r="E265" s="8" t="b">
        <v>0</v>
      </c>
      <c r="F265" s="8" t="b">
        <v>0</v>
      </c>
      <c r="G265" s="8">
        <v>7250.69</v>
      </c>
      <c r="H265" s="8">
        <v>50161.94</v>
      </c>
      <c r="I265" s="8">
        <v>14063.06</v>
      </c>
      <c r="J265" s="8" t="b">
        <v>0</v>
      </c>
    </row>
    <row r="266" spans="1:10">
      <c r="A266" s="8" t="s">
        <v>69</v>
      </c>
      <c r="B266" s="8" t="s">
        <v>70</v>
      </c>
      <c r="C266" s="8" t="s">
        <v>211</v>
      </c>
      <c r="D266" s="8">
        <v>70006.259999999995</v>
      </c>
      <c r="E266" s="8" t="b">
        <v>0</v>
      </c>
      <c r="F266" s="8" t="b">
        <v>0</v>
      </c>
      <c r="G266" s="8">
        <v>7391.54</v>
      </c>
      <c r="H266" s="8">
        <v>27636.05</v>
      </c>
      <c r="I266" s="8">
        <v>42370.21</v>
      </c>
      <c r="J266" s="8" t="b">
        <v>0</v>
      </c>
    </row>
    <row r="267" spans="1:10">
      <c r="A267" s="8" t="s">
        <v>195</v>
      </c>
      <c r="B267" s="8" t="s">
        <v>196</v>
      </c>
      <c r="C267" s="8" t="s">
        <v>209</v>
      </c>
      <c r="D267" s="8">
        <v>26544</v>
      </c>
      <c r="E267" s="8" t="b">
        <v>0</v>
      </c>
      <c r="F267" s="8" t="b">
        <v>0</v>
      </c>
      <c r="G267" s="8">
        <v>522.13</v>
      </c>
      <c r="H267" s="8">
        <v>27193.18</v>
      </c>
      <c r="I267" s="8">
        <v>-649.17999999999995</v>
      </c>
      <c r="J267" s="8" t="b">
        <v>0</v>
      </c>
    </row>
    <row r="268" spans="1:10">
      <c r="A268" s="8" t="s">
        <v>195</v>
      </c>
      <c r="B268" s="8" t="s">
        <v>196</v>
      </c>
      <c r="C268" s="8" t="s">
        <v>210</v>
      </c>
      <c r="D268" s="8">
        <v>59724</v>
      </c>
      <c r="E268" s="8" t="b">
        <v>0</v>
      </c>
      <c r="F268" s="8" t="b">
        <v>0</v>
      </c>
      <c r="G268" s="8">
        <v>6081.04</v>
      </c>
      <c r="H268" s="8">
        <v>52990.27</v>
      </c>
      <c r="I268" s="8">
        <v>6733.73</v>
      </c>
      <c r="J268" s="8" t="b">
        <v>0</v>
      </c>
    </row>
    <row r="269" spans="1:10">
      <c r="A269" s="8" t="s">
        <v>18</v>
      </c>
      <c r="B269" s="8" t="s">
        <v>19</v>
      </c>
      <c r="C269" s="8" t="s">
        <v>208</v>
      </c>
      <c r="D269" s="8">
        <v>398567</v>
      </c>
      <c r="E269" s="8" t="b">
        <v>0</v>
      </c>
      <c r="F269" s="8" t="b">
        <v>0</v>
      </c>
      <c r="G269" s="8">
        <v>26990.98</v>
      </c>
      <c r="H269" s="8">
        <v>389700.22</v>
      </c>
      <c r="I269" s="8">
        <v>8866.7800000000007</v>
      </c>
      <c r="J269" s="8" t="b">
        <v>0</v>
      </c>
    </row>
    <row r="270" spans="1:10">
      <c r="A270" s="8" t="s">
        <v>71</v>
      </c>
      <c r="B270" s="8" t="s">
        <v>72</v>
      </c>
      <c r="C270" s="8" t="s">
        <v>210</v>
      </c>
      <c r="D270" s="8">
        <v>49824</v>
      </c>
      <c r="E270" s="8" t="b">
        <v>0</v>
      </c>
      <c r="F270" s="8" t="b">
        <v>0</v>
      </c>
      <c r="G270" s="8">
        <v>7280.8</v>
      </c>
      <c r="H270" s="8">
        <v>49731.82</v>
      </c>
      <c r="I270" s="8">
        <v>92.18</v>
      </c>
      <c r="J270" s="8" t="b">
        <v>0</v>
      </c>
    </row>
    <row r="271" spans="1:10">
      <c r="A271" s="8" t="s">
        <v>87</v>
      </c>
      <c r="B271" s="8" t="s">
        <v>88</v>
      </c>
      <c r="C271" s="8" t="s">
        <v>211</v>
      </c>
      <c r="D271" s="8">
        <v>22761.3</v>
      </c>
      <c r="E271" s="8" t="b">
        <v>0</v>
      </c>
      <c r="F271" s="8" t="b">
        <v>0</v>
      </c>
      <c r="G271" s="8">
        <v>2481.33</v>
      </c>
      <c r="H271" s="8">
        <v>18069.62</v>
      </c>
      <c r="I271" s="8">
        <v>4691.68</v>
      </c>
      <c r="J271" s="8" t="b">
        <v>0</v>
      </c>
    </row>
    <row r="272" spans="1:10">
      <c r="A272" s="8" t="s">
        <v>137</v>
      </c>
      <c r="B272" s="8" t="s">
        <v>138</v>
      </c>
      <c r="C272" s="8" t="s">
        <v>212</v>
      </c>
      <c r="D272" s="8">
        <v>146292</v>
      </c>
      <c r="E272" s="8" t="b">
        <v>0</v>
      </c>
      <c r="F272" s="8" t="b">
        <v>0</v>
      </c>
      <c r="G272" s="8">
        <v>0</v>
      </c>
      <c r="H272" s="8">
        <v>164317.20000000001</v>
      </c>
      <c r="I272" s="8">
        <v>-18025.2</v>
      </c>
      <c r="J272" s="8" t="b">
        <v>0</v>
      </c>
    </row>
    <row r="273" spans="1:10">
      <c r="A273" s="8" t="s">
        <v>183</v>
      </c>
      <c r="B273" s="8" t="s">
        <v>184</v>
      </c>
      <c r="C273" s="8" t="s">
        <v>207</v>
      </c>
      <c r="D273" s="8">
        <v>427663.25</v>
      </c>
      <c r="E273" s="8" t="b">
        <v>0</v>
      </c>
      <c r="F273" s="8" t="b">
        <v>0</v>
      </c>
      <c r="G273" s="8">
        <v>75493.350000000006</v>
      </c>
      <c r="H273" s="8">
        <v>400926.26</v>
      </c>
      <c r="I273" s="8">
        <v>26736.99</v>
      </c>
      <c r="J273" s="8" t="b">
        <v>0</v>
      </c>
    </row>
    <row r="274" spans="1:10">
      <c r="A274" s="8" t="s">
        <v>141</v>
      </c>
      <c r="B274" s="8" t="s">
        <v>142</v>
      </c>
      <c r="C274" s="8" t="s">
        <v>211</v>
      </c>
      <c r="D274" s="8">
        <v>51670.02</v>
      </c>
      <c r="E274" s="8" t="b">
        <v>0</v>
      </c>
      <c r="F274" s="8" t="b">
        <v>0</v>
      </c>
      <c r="G274" s="8">
        <v>0</v>
      </c>
      <c r="H274" s="8">
        <v>56610.1</v>
      </c>
      <c r="I274" s="8">
        <v>-4940.08</v>
      </c>
      <c r="J274" s="8" t="b">
        <v>0</v>
      </c>
    </row>
    <row r="275" spans="1:10">
      <c r="A275" s="8" t="s">
        <v>39</v>
      </c>
      <c r="B275" s="8" t="s">
        <v>40</v>
      </c>
      <c r="C275" s="8" t="s">
        <v>208</v>
      </c>
      <c r="D275" s="8">
        <v>166594</v>
      </c>
      <c r="E275" s="8" t="b">
        <v>0</v>
      </c>
      <c r="F275" s="8" t="b">
        <v>0</v>
      </c>
      <c r="G275" s="8">
        <v>28374.22</v>
      </c>
      <c r="H275" s="8">
        <v>151463.07999999999</v>
      </c>
      <c r="I275" s="8">
        <v>15130.92</v>
      </c>
      <c r="J275" s="8" t="b">
        <v>0</v>
      </c>
    </row>
    <row r="276" spans="1:10">
      <c r="A276" s="8" t="s">
        <v>121</v>
      </c>
      <c r="B276" s="8" t="s">
        <v>122</v>
      </c>
      <c r="C276" s="8" t="s">
        <v>207</v>
      </c>
      <c r="D276" s="8">
        <v>270483.57</v>
      </c>
      <c r="E276" s="8" t="b">
        <v>0</v>
      </c>
      <c r="F276" s="8" t="b">
        <v>0</v>
      </c>
      <c r="G276" s="8">
        <v>14696.2</v>
      </c>
      <c r="H276" s="8">
        <v>290963.68</v>
      </c>
      <c r="I276" s="8">
        <v>-20480.11</v>
      </c>
      <c r="J276" s="8" t="b">
        <v>0</v>
      </c>
    </row>
    <row r="277" spans="1:10">
      <c r="A277" s="8" t="s">
        <v>115</v>
      </c>
      <c r="B277" s="8" t="s">
        <v>116</v>
      </c>
      <c r="C277" s="8" t="s">
        <v>207</v>
      </c>
      <c r="D277" s="8">
        <v>109150</v>
      </c>
      <c r="E277" s="8" t="b">
        <v>0</v>
      </c>
      <c r="F277" s="8" t="b">
        <v>0</v>
      </c>
      <c r="G277" s="8">
        <v>13046.6</v>
      </c>
      <c r="H277" s="8">
        <v>76654.259999999995</v>
      </c>
      <c r="I277" s="8">
        <v>32495.74</v>
      </c>
      <c r="J277" s="8" t="b">
        <v>0</v>
      </c>
    </row>
    <row r="278" spans="1:10">
      <c r="A278" s="8" t="s">
        <v>191</v>
      </c>
      <c r="B278" s="8" t="s">
        <v>192</v>
      </c>
      <c r="C278" s="8" t="s">
        <v>207</v>
      </c>
      <c r="D278" s="8">
        <v>261460.18</v>
      </c>
      <c r="E278" s="8" t="b">
        <v>0</v>
      </c>
      <c r="F278" s="8" t="b">
        <v>0</v>
      </c>
      <c r="G278" s="8">
        <v>9935.39</v>
      </c>
      <c r="H278" s="8">
        <v>243780.23</v>
      </c>
      <c r="I278" s="8">
        <v>17679.95</v>
      </c>
      <c r="J278" s="8" t="b">
        <v>0</v>
      </c>
    </row>
    <row r="279" spans="1:10">
      <c r="A279" s="8" t="s">
        <v>35</v>
      </c>
      <c r="B279" s="8" t="s">
        <v>36</v>
      </c>
      <c r="C279" s="8" t="s">
        <v>208</v>
      </c>
      <c r="D279" s="8">
        <v>148400</v>
      </c>
      <c r="E279" s="8" t="b">
        <v>0</v>
      </c>
      <c r="F279" s="8" t="b">
        <v>0</v>
      </c>
      <c r="G279" s="8">
        <v>24306.81</v>
      </c>
      <c r="H279" s="8">
        <v>93468.33</v>
      </c>
      <c r="I279" s="8">
        <v>54931.67</v>
      </c>
      <c r="J279" s="8" t="b">
        <v>0</v>
      </c>
    </row>
    <row r="280" spans="1:10">
      <c r="A280" s="8" t="s">
        <v>169</v>
      </c>
      <c r="B280" s="8" t="s">
        <v>170</v>
      </c>
      <c r="C280" s="8" t="s">
        <v>212</v>
      </c>
      <c r="D280" s="8">
        <v>37193.86</v>
      </c>
      <c r="E280" s="8" t="b">
        <v>0</v>
      </c>
      <c r="F280" s="8" t="b">
        <v>0</v>
      </c>
      <c r="G280" s="8">
        <v>6201.6</v>
      </c>
      <c r="H280" s="8">
        <v>30987.73</v>
      </c>
      <c r="I280" s="8">
        <v>6206.13</v>
      </c>
      <c r="J280" s="8" t="b">
        <v>0</v>
      </c>
    </row>
    <row r="281" spans="1:10">
      <c r="A281" s="8" t="s">
        <v>37</v>
      </c>
      <c r="B281" s="8" t="s">
        <v>38</v>
      </c>
      <c r="C281" s="8" t="s">
        <v>212</v>
      </c>
      <c r="D281" s="8">
        <v>88328.74</v>
      </c>
      <c r="E281" s="8" t="b">
        <v>0</v>
      </c>
      <c r="F281" s="8" t="b">
        <v>0</v>
      </c>
      <c r="G281" s="8">
        <v>12702.38</v>
      </c>
      <c r="H281" s="8">
        <v>77720.69</v>
      </c>
      <c r="I281" s="8">
        <v>10608.05</v>
      </c>
      <c r="J281" s="8" t="b">
        <v>0</v>
      </c>
    </row>
    <row r="282" spans="1:10">
      <c r="A282" s="8" t="s">
        <v>18</v>
      </c>
      <c r="B282" s="8" t="s">
        <v>19</v>
      </c>
      <c r="C282" s="8" t="s">
        <v>211</v>
      </c>
      <c r="D282" s="8">
        <v>38571</v>
      </c>
      <c r="E282" s="8" t="b">
        <v>0</v>
      </c>
      <c r="F282" s="8" t="b">
        <v>0</v>
      </c>
      <c r="G282" s="8">
        <v>1176.57</v>
      </c>
      <c r="H282" s="8">
        <v>41091.43</v>
      </c>
      <c r="I282" s="8">
        <v>-2520.4299999999998</v>
      </c>
      <c r="J282" s="8" t="b">
        <v>0</v>
      </c>
    </row>
    <row r="283" spans="1:10">
      <c r="A283" s="8" t="s">
        <v>99</v>
      </c>
      <c r="B283" s="8" t="s">
        <v>100</v>
      </c>
      <c r="C283" s="8" t="s">
        <v>209</v>
      </c>
      <c r="D283" s="8">
        <v>92760</v>
      </c>
      <c r="E283" s="8" t="b">
        <v>0</v>
      </c>
      <c r="F283" s="8" t="b">
        <v>0</v>
      </c>
      <c r="G283" s="8">
        <v>0</v>
      </c>
      <c r="H283" s="8">
        <v>91869.58</v>
      </c>
      <c r="I283" s="8">
        <v>890.42</v>
      </c>
      <c r="J283" s="8" t="b">
        <v>0</v>
      </c>
    </row>
    <row r="284" spans="1:10">
      <c r="A284" s="8" t="s">
        <v>99</v>
      </c>
      <c r="B284" s="8" t="s">
        <v>100</v>
      </c>
      <c r="C284" s="8" t="s">
        <v>210</v>
      </c>
      <c r="D284" s="8">
        <v>162330</v>
      </c>
      <c r="E284" s="8" t="b">
        <v>0</v>
      </c>
      <c r="F284" s="8" t="b">
        <v>0</v>
      </c>
      <c r="G284" s="8">
        <v>13476.13</v>
      </c>
      <c r="H284" s="8">
        <v>148756.59</v>
      </c>
      <c r="I284" s="8">
        <v>13573.41</v>
      </c>
      <c r="J284" s="8" t="b">
        <v>0</v>
      </c>
    </row>
    <row r="285" spans="1:10">
      <c r="A285" s="8" t="s">
        <v>87</v>
      </c>
      <c r="B285" s="8" t="s">
        <v>88</v>
      </c>
      <c r="C285" s="8" t="s">
        <v>208</v>
      </c>
      <c r="D285" s="8">
        <v>348189.4</v>
      </c>
      <c r="E285" s="8" t="b">
        <v>0</v>
      </c>
      <c r="F285" s="8" t="b">
        <v>0</v>
      </c>
      <c r="G285" s="8">
        <v>71929.7</v>
      </c>
      <c r="H285" s="8">
        <v>291763.27</v>
      </c>
      <c r="I285" s="8">
        <v>56426.13</v>
      </c>
      <c r="J285" s="8" t="b">
        <v>0</v>
      </c>
    </row>
    <row r="286" spans="1:10">
      <c r="A286" s="8" t="s">
        <v>125</v>
      </c>
      <c r="B286" s="8" t="s">
        <v>126</v>
      </c>
      <c r="C286" s="8" t="s">
        <v>211</v>
      </c>
      <c r="D286" s="8">
        <v>36339</v>
      </c>
      <c r="E286" s="8" t="b">
        <v>0</v>
      </c>
      <c r="F286" s="8" t="b">
        <v>0</v>
      </c>
      <c r="G286" s="8">
        <v>5498.44</v>
      </c>
      <c r="H286" s="8">
        <v>35530.550000000003</v>
      </c>
      <c r="I286" s="8">
        <v>808.45</v>
      </c>
      <c r="J286" s="8" t="b">
        <v>0</v>
      </c>
    </row>
    <row r="287" spans="1:10">
      <c r="A287" s="8" t="s">
        <v>171</v>
      </c>
      <c r="B287" s="8" t="s">
        <v>172</v>
      </c>
      <c r="C287" s="8" t="s">
        <v>209</v>
      </c>
      <c r="D287" s="8">
        <v>148030.18</v>
      </c>
      <c r="E287" s="8" t="b">
        <v>0</v>
      </c>
      <c r="F287" s="8" t="b">
        <v>0</v>
      </c>
      <c r="G287" s="8">
        <v>16648.87</v>
      </c>
      <c r="H287" s="8">
        <v>125974</v>
      </c>
      <c r="I287" s="8">
        <v>22056.18</v>
      </c>
      <c r="J287" s="8" t="b">
        <v>0</v>
      </c>
    </row>
    <row r="288" spans="1:10">
      <c r="A288" s="8" t="s">
        <v>171</v>
      </c>
      <c r="B288" s="8" t="s">
        <v>172</v>
      </c>
      <c r="C288" s="8" t="s">
        <v>210</v>
      </c>
      <c r="D288" s="8">
        <v>207823.63</v>
      </c>
      <c r="E288" s="8" t="b">
        <v>0</v>
      </c>
      <c r="F288" s="8" t="b">
        <v>0</v>
      </c>
      <c r="G288" s="8">
        <v>28962.89</v>
      </c>
      <c r="H288" s="8">
        <v>189178.61</v>
      </c>
      <c r="I288" s="8">
        <v>18645.02</v>
      </c>
      <c r="J288" s="8" t="b">
        <v>0</v>
      </c>
    </row>
    <row r="289" spans="1:10">
      <c r="A289" s="8" t="s">
        <v>183</v>
      </c>
      <c r="B289" s="8" t="s">
        <v>184</v>
      </c>
      <c r="C289" s="8" t="s">
        <v>212</v>
      </c>
      <c r="D289" s="8">
        <v>69681.45</v>
      </c>
      <c r="E289" s="8" t="b">
        <v>0</v>
      </c>
      <c r="F289" s="8" t="b">
        <v>0</v>
      </c>
      <c r="G289" s="8">
        <v>11018.63</v>
      </c>
      <c r="H289" s="8">
        <v>64702.02</v>
      </c>
      <c r="I289" s="8">
        <v>4979.43</v>
      </c>
      <c r="J289" s="8" t="b">
        <v>0</v>
      </c>
    </row>
    <row r="290" spans="1:10">
      <c r="A290" s="8" t="s">
        <v>129</v>
      </c>
      <c r="B290" s="8" t="s">
        <v>130</v>
      </c>
      <c r="C290" s="8" t="s">
        <v>209</v>
      </c>
      <c r="D290" s="8">
        <v>89862.7</v>
      </c>
      <c r="E290" s="8" t="b">
        <v>0</v>
      </c>
      <c r="F290" s="8" t="b">
        <v>0</v>
      </c>
      <c r="G290" s="8">
        <v>0</v>
      </c>
      <c r="H290" s="8">
        <v>99374.399999999994</v>
      </c>
      <c r="I290" s="8">
        <v>-9511.7000000000007</v>
      </c>
      <c r="J290" s="8" t="b">
        <v>0</v>
      </c>
    </row>
    <row r="291" spans="1:10">
      <c r="A291" s="8" t="s">
        <v>129</v>
      </c>
      <c r="B291" s="8" t="s">
        <v>130</v>
      </c>
      <c r="C291" s="8" t="s">
        <v>210</v>
      </c>
      <c r="D291" s="8">
        <v>144039.5</v>
      </c>
      <c r="E291" s="8" t="b">
        <v>0</v>
      </c>
      <c r="F291" s="8" t="b">
        <v>0</v>
      </c>
      <c r="G291" s="8">
        <v>16713.41</v>
      </c>
      <c r="H291" s="8">
        <v>152853.01</v>
      </c>
      <c r="I291" s="8">
        <v>-8813.51</v>
      </c>
      <c r="J291" s="8" t="b">
        <v>0</v>
      </c>
    </row>
    <row r="292" spans="1:10">
      <c r="A292" s="8" t="s">
        <v>39</v>
      </c>
      <c r="B292" s="8" t="s">
        <v>40</v>
      </c>
      <c r="C292" s="8" t="s">
        <v>211</v>
      </c>
      <c r="D292" s="8">
        <v>16122</v>
      </c>
      <c r="E292" s="8" t="b">
        <v>0</v>
      </c>
      <c r="F292" s="8" t="b">
        <v>0</v>
      </c>
      <c r="G292" s="8">
        <v>1990.94</v>
      </c>
      <c r="H292" s="8">
        <v>17221.849999999999</v>
      </c>
      <c r="I292" s="8">
        <v>-1099.8499999999999</v>
      </c>
      <c r="J292" s="8" t="b">
        <v>0</v>
      </c>
    </row>
    <row r="293" spans="1:10">
      <c r="A293" s="8" t="s">
        <v>143</v>
      </c>
      <c r="B293" s="8" t="s">
        <v>144</v>
      </c>
      <c r="C293" s="8" t="s">
        <v>212</v>
      </c>
      <c r="D293" s="8">
        <v>39530.53</v>
      </c>
      <c r="E293" s="8" t="b">
        <v>0</v>
      </c>
      <c r="F293" s="8" t="b">
        <v>0</v>
      </c>
      <c r="G293" s="8">
        <v>5532.02</v>
      </c>
      <c r="H293" s="8">
        <v>36141.26</v>
      </c>
      <c r="I293" s="8">
        <v>3389.27</v>
      </c>
      <c r="J293" s="8" t="b">
        <v>0</v>
      </c>
    </row>
    <row r="294" spans="1:10">
      <c r="A294" s="8" t="s">
        <v>43</v>
      </c>
      <c r="B294" s="8" t="s">
        <v>44</v>
      </c>
      <c r="C294" s="8" t="s">
        <v>208</v>
      </c>
      <c r="D294" s="8">
        <v>162652</v>
      </c>
      <c r="E294" s="8" t="b">
        <v>0</v>
      </c>
      <c r="F294" s="8" t="b">
        <v>0</v>
      </c>
      <c r="G294" s="8">
        <v>4371.57</v>
      </c>
      <c r="H294" s="8">
        <v>166982.84</v>
      </c>
      <c r="I294" s="8">
        <v>-4330.84</v>
      </c>
      <c r="J294" s="8" t="b">
        <v>0</v>
      </c>
    </row>
    <row r="295" spans="1:10">
      <c r="A295" s="8" t="s">
        <v>131</v>
      </c>
      <c r="B295" s="8" t="s">
        <v>132</v>
      </c>
      <c r="C295" s="8" t="s">
        <v>209</v>
      </c>
      <c r="D295" s="8">
        <v>42324.33</v>
      </c>
      <c r="E295" s="8" t="b">
        <v>0</v>
      </c>
      <c r="F295" s="8" t="b">
        <v>0</v>
      </c>
      <c r="G295" s="8">
        <v>9514.2099999999991</v>
      </c>
      <c r="H295" s="8">
        <v>30692.57</v>
      </c>
      <c r="I295" s="8">
        <v>11631.76</v>
      </c>
      <c r="J295" s="8" t="b">
        <v>0</v>
      </c>
    </row>
    <row r="296" spans="1:10">
      <c r="A296" s="8" t="s">
        <v>131</v>
      </c>
      <c r="B296" s="8" t="s">
        <v>132</v>
      </c>
      <c r="C296" s="8" t="s">
        <v>210</v>
      </c>
      <c r="D296" s="8">
        <v>74000.89</v>
      </c>
      <c r="E296" s="8" t="b">
        <v>0</v>
      </c>
      <c r="F296" s="8" t="b">
        <v>0</v>
      </c>
      <c r="G296" s="8">
        <v>5413.24</v>
      </c>
      <c r="H296" s="8">
        <v>67738.289999999994</v>
      </c>
      <c r="I296" s="8">
        <v>6262.6</v>
      </c>
      <c r="J296" s="8" t="b">
        <v>0</v>
      </c>
    </row>
    <row r="297" spans="1:10">
      <c r="A297" s="8" t="s">
        <v>107</v>
      </c>
      <c r="B297" s="8" t="s">
        <v>108</v>
      </c>
      <c r="C297" s="8" t="s">
        <v>207</v>
      </c>
      <c r="D297" s="8">
        <v>255962.8</v>
      </c>
      <c r="E297" s="8" t="b">
        <v>0</v>
      </c>
      <c r="F297" s="8" t="b">
        <v>0</v>
      </c>
      <c r="G297" s="8">
        <v>0</v>
      </c>
      <c r="H297" s="8">
        <v>282902.93</v>
      </c>
      <c r="I297" s="8">
        <v>-26940.13</v>
      </c>
      <c r="J297" s="8" t="b">
        <v>0</v>
      </c>
    </row>
    <row r="298" spans="1:10">
      <c r="A298" s="8" t="s">
        <v>59</v>
      </c>
      <c r="B298" s="8" t="s">
        <v>60</v>
      </c>
      <c r="C298" s="8" t="s">
        <v>209</v>
      </c>
      <c r="D298" s="8">
        <v>20645.04</v>
      </c>
      <c r="E298" s="8" t="b">
        <v>0</v>
      </c>
      <c r="F298" s="8" t="b">
        <v>0</v>
      </c>
      <c r="G298" s="8">
        <v>2596.61</v>
      </c>
      <c r="H298" s="8">
        <v>19105.830000000002</v>
      </c>
      <c r="I298" s="8">
        <v>1539.21</v>
      </c>
      <c r="J298" s="8" t="b">
        <v>0</v>
      </c>
    </row>
    <row r="299" spans="1:10">
      <c r="A299" s="8" t="s">
        <v>121</v>
      </c>
      <c r="B299" s="8" t="s">
        <v>122</v>
      </c>
      <c r="C299" s="8" t="s">
        <v>212</v>
      </c>
      <c r="D299" s="8">
        <v>42923.1</v>
      </c>
      <c r="E299" s="8" t="b">
        <v>0</v>
      </c>
      <c r="F299" s="8" t="b">
        <v>0</v>
      </c>
      <c r="G299" s="8">
        <v>2044.63</v>
      </c>
      <c r="H299" s="8">
        <v>44517.16</v>
      </c>
      <c r="I299" s="8">
        <v>-1594.06</v>
      </c>
      <c r="J299" s="8" t="b">
        <v>0</v>
      </c>
    </row>
    <row r="300" spans="1:10">
      <c r="A300" s="8" t="s">
        <v>85</v>
      </c>
      <c r="B300" s="8" t="s">
        <v>86</v>
      </c>
      <c r="C300" s="8" t="s">
        <v>212</v>
      </c>
      <c r="D300" s="8">
        <v>12449.43</v>
      </c>
      <c r="E300" s="8" t="b">
        <v>0</v>
      </c>
      <c r="F300" s="8" t="b">
        <v>0</v>
      </c>
      <c r="G300" s="8">
        <v>569.69000000000005</v>
      </c>
      <c r="H300" s="8">
        <v>11540.71</v>
      </c>
      <c r="I300" s="8">
        <v>908.72</v>
      </c>
      <c r="J300" s="8" t="b">
        <v>0</v>
      </c>
    </row>
    <row r="301" spans="1:10">
      <c r="A301" s="8" t="s">
        <v>45</v>
      </c>
      <c r="B301" s="8" t="s">
        <v>46</v>
      </c>
      <c r="C301" s="8" t="s">
        <v>209</v>
      </c>
      <c r="D301" s="8">
        <v>15844</v>
      </c>
      <c r="E301" s="8" t="b">
        <v>0</v>
      </c>
      <c r="F301" s="8" t="b">
        <v>0</v>
      </c>
      <c r="G301" s="8">
        <v>3203.01</v>
      </c>
      <c r="H301" s="8">
        <v>12959.31</v>
      </c>
      <c r="I301" s="8">
        <v>2884.69</v>
      </c>
      <c r="J301" s="8" t="b">
        <v>0</v>
      </c>
    </row>
    <row r="302" spans="1:10">
      <c r="A302" s="8" t="s">
        <v>93</v>
      </c>
      <c r="B302" s="8" t="s">
        <v>94</v>
      </c>
      <c r="C302" s="8" t="s">
        <v>212</v>
      </c>
      <c r="D302" s="8">
        <v>38656.46</v>
      </c>
      <c r="E302" s="8" t="b">
        <v>0</v>
      </c>
      <c r="F302" s="8" t="b">
        <v>0</v>
      </c>
      <c r="G302" s="8">
        <v>2488.7399999999998</v>
      </c>
      <c r="H302" s="8">
        <v>41015.18</v>
      </c>
      <c r="I302" s="8">
        <v>-2358.7199999999998</v>
      </c>
      <c r="J302" s="8" t="b">
        <v>0</v>
      </c>
    </row>
    <row r="303" spans="1:10">
      <c r="A303" s="8" t="s">
        <v>65</v>
      </c>
      <c r="B303" s="8" t="s">
        <v>66</v>
      </c>
      <c r="C303" s="8" t="s">
        <v>209</v>
      </c>
      <c r="D303" s="8">
        <v>64975</v>
      </c>
      <c r="E303" s="8" t="b">
        <v>0</v>
      </c>
      <c r="F303" s="8" t="b">
        <v>0</v>
      </c>
      <c r="G303" s="8">
        <v>7916.61</v>
      </c>
      <c r="H303" s="8">
        <v>53356.61</v>
      </c>
      <c r="I303" s="8">
        <v>11618.39</v>
      </c>
      <c r="J303" s="8" t="b">
        <v>0</v>
      </c>
    </row>
    <row r="304" spans="1:10">
      <c r="A304" s="8" t="s">
        <v>65</v>
      </c>
      <c r="B304" s="8" t="s">
        <v>66</v>
      </c>
      <c r="C304" s="8" t="s">
        <v>210</v>
      </c>
      <c r="D304" s="8">
        <v>103960</v>
      </c>
      <c r="E304" s="8" t="b">
        <v>0</v>
      </c>
      <c r="F304" s="8" t="b">
        <v>0</v>
      </c>
      <c r="G304" s="8">
        <v>5100.8</v>
      </c>
      <c r="H304" s="8">
        <v>99457.42</v>
      </c>
      <c r="I304" s="8">
        <v>4502.58</v>
      </c>
      <c r="J304" s="8" t="b">
        <v>0</v>
      </c>
    </row>
    <row r="305" spans="1:10">
      <c r="A305" s="8" t="s">
        <v>31</v>
      </c>
      <c r="B305" s="8" t="s">
        <v>32</v>
      </c>
      <c r="C305" s="8" t="s">
        <v>208</v>
      </c>
      <c r="D305" s="8">
        <v>278759.38</v>
      </c>
      <c r="E305" s="8" t="b">
        <v>0</v>
      </c>
      <c r="F305" s="8" t="b">
        <v>0</v>
      </c>
      <c r="G305" s="8">
        <v>43066.29</v>
      </c>
      <c r="H305" s="8">
        <v>192104.36</v>
      </c>
      <c r="I305" s="8">
        <v>86655.02</v>
      </c>
      <c r="J305" s="8" t="b">
        <v>0</v>
      </c>
    </row>
    <row r="306" spans="1:10">
      <c r="A306" s="8" t="s">
        <v>53</v>
      </c>
      <c r="B306" s="8" t="s">
        <v>54</v>
      </c>
      <c r="C306" s="8" t="s">
        <v>209</v>
      </c>
      <c r="D306" s="8">
        <v>61741.98</v>
      </c>
      <c r="E306" s="8" t="b">
        <v>0</v>
      </c>
      <c r="F306" s="8" t="b">
        <v>0</v>
      </c>
      <c r="G306" s="8">
        <v>6438.69</v>
      </c>
      <c r="H306" s="8">
        <v>43034.54</v>
      </c>
      <c r="I306" s="8">
        <v>18707.439999999999</v>
      </c>
      <c r="J306" s="8" t="b">
        <v>0</v>
      </c>
    </row>
    <row r="307" spans="1:10">
      <c r="A307" s="8" t="s">
        <v>53</v>
      </c>
      <c r="B307" s="8" t="s">
        <v>54</v>
      </c>
      <c r="C307" s="8" t="s">
        <v>210</v>
      </c>
      <c r="D307" s="8">
        <v>86641.97</v>
      </c>
      <c r="E307" s="8" t="b">
        <v>0</v>
      </c>
      <c r="F307" s="8" t="b">
        <v>0</v>
      </c>
      <c r="G307" s="8">
        <v>5953.69</v>
      </c>
      <c r="H307" s="8">
        <v>68712.570000000007</v>
      </c>
      <c r="I307" s="8">
        <v>17929.400000000001</v>
      </c>
      <c r="J307" s="8" t="b">
        <v>0</v>
      </c>
    </row>
    <row r="308" spans="1:10">
      <c r="A308" s="8" t="s">
        <v>115</v>
      </c>
      <c r="B308" s="8" t="s">
        <v>116</v>
      </c>
      <c r="C308" s="8" t="s">
        <v>212</v>
      </c>
      <c r="D308" s="8">
        <v>17464</v>
      </c>
      <c r="E308" s="8" t="b">
        <v>0</v>
      </c>
      <c r="F308" s="8" t="b">
        <v>0</v>
      </c>
      <c r="G308" s="8">
        <v>357.02</v>
      </c>
      <c r="H308" s="8">
        <v>13103.41</v>
      </c>
      <c r="I308" s="8">
        <v>4360.59</v>
      </c>
      <c r="J308" s="8" t="b">
        <v>0</v>
      </c>
    </row>
    <row r="309" spans="1:10">
      <c r="A309" s="8" t="s">
        <v>203</v>
      </c>
      <c r="B309" s="8" t="s">
        <v>204</v>
      </c>
      <c r="C309" s="8" t="s">
        <v>209</v>
      </c>
      <c r="D309" s="8">
        <v>37825</v>
      </c>
      <c r="E309" s="8" t="b">
        <v>0</v>
      </c>
      <c r="F309" s="8" t="b">
        <v>0</v>
      </c>
      <c r="G309" s="8">
        <v>2004.98</v>
      </c>
      <c r="H309" s="8">
        <v>26297.43</v>
      </c>
      <c r="I309" s="8">
        <v>11527.57</v>
      </c>
      <c r="J309" s="8" t="b">
        <v>0</v>
      </c>
    </row>
    <row r="310" spans="1:10">
      <c r="A310" s="8" t="s">
        <v>203</v>
      </c>
      <c r="B310" s="8" t="s">
        <v>204</v>
      </c>
      <c r="C310" s="8" t="s">
        <v>210</v>
      </c>
      <c r="D310" s="8">
        <v>60520</v>
      </c>
      <c r="E310" s="8" t="b">
        <v>0</v>
      </c>
      <c r="F310" s="8" t="b">
        <v>0</v>
      </c>
      <c r="G310" s="8">
        <v>4201.82</v>
      </c>
      <c r="H310" s="8">
        <v>44011.83</v>
      </c>
      <c r="I310" s="8">
        <v>16508.169999999998</v>
      </c>
      <c r="J310" s="8" t="b">
        <v>0</v>
      </c>
    </row>
    <row r="311" spans="1:10">
      <c r="A311" s="8" t="s">
        <v>69</v>
      </c>
      <c r="B311" s="8" t="s">
        <v>70</v>
      </c>
      <c r="C311" s="8" t="s">
        <v>208</v>
      </c>
      <c r="D311" s="8">
        <v>632167.91</v>
      </c>
      <c r="E311" s="8" t="b">
        <v>0</v>
      </c>
      <c r="F311" s="8" t="b">
        <v>0</v>
      </c>
      <c r="G311" s="8">
        <v>24933.16</v>
      </c>
      <c r="H311" s="8">
        <v>267844.26</v>
      </c>
      <c r="I311" s="8">
        <v>364323.65</v>
      </c>
      <c r="J311" s="8" t="b">
        <v>0</v>
      </c>
    </row>
    <row r="312" spans="1:10">
      <c r="A312" s="8" t="s">
        <v>155</v>
      </c>
      <c r="B312" s="8" t="s">
        <v>156</v>
      </c>
      <c r="C312" s="8" t="s">
        <v>209</v>
      </c>
      <c r="D312" s="8">
        <v>48935</v>
      </c>
      <c r="E312" s="8" t="b">
        <v>0</v>
      </c>
      <c r="F312" s="8" t="b">
        <v>0</v>
      </c>
      <c r="G312" s="8">
        <v>1101.8800000000001</v>
      </c>
      <c r="H312" s="8">
        <v>5032.1499999999996</v>
      </c>
      <c r="I312" s="8">
        <v>43902.85</v>
      </c>
      <c r="J312" s="8" t="b">
        <v>0</v>
      </c>
    </row>
    <row r="313" spans="1:10">
      <c r="A313" s="8" t="s">
        <v>35</v>
      </c>
      <c r="B313" s="8" t="s">
        <v>36</v>
      </c>
      <c r="C313" s="8" t="s">
        <v>211</v>
      </c>
      <c r="D313" s="8">
        <v>15900</v>
      </c>
      <c r="E313" s="8" t="b">
        <v>0</v>
      </c>
      <c r="F313" s="8" t="b">
        <v>0</v>
      </c>
      <c r="G313" s="8">
        <v>917.33</v>
      </c>
      <c r="H313" s="8">
        <v>11719.51</v>
      </c>
      <c r="I313" s="8">
        <v>4180.49</v>
      </c>
      <c r="J313" s="8" t="b">
        <v>0</v>
      </c>
    </row>
    <row r="314" spans="1:10">
      <c r="A314" s="8" t="s">
        <v>151</v>
      </c>
      <c r="B314" s="8" t="s">
        <v>152</v>
      </c>
      <c r="C314" s="8" t="s">
        <v>209</v>
      </c>
      <c r="D314" s="8">
        <v>28421.71</v>
      </c>
      <c r="E314" s="8" t="b">
        <v>0</v>
      </c>
      <c r="F314" s="8" t="b">
        <v>0</v>
      </c>
      <c r="G314" s="8">
        <v>2760.53</v>
      </c>
      <c r="H314" s="8">
        <v>23762.43</v>
      </c>
      <c r="I314" s="8">
        <v>4659.28</v>
      </c>
      <c r="J314" s="8" t="b">
        <v>0</v>
      </c>
    </row>
    <row r="315" spans="1:10">
      <c r="A315" s="8" t="s">
        <v>151</v>
      </c>
      <c r="B315" s="8" t="s">
        <v>152</v>
      </c>
      <c r="C315" s="8" t="s">
        <v>210</v>
      </c>
      <c r="D315" s="8">
        <v>45571.519999999997</v>
      </c>
      <c r="E315" s="8" t="b">
        <v>0</v>
      </c>
      <c r="F315" s="8" t="b">
        <v>0</v>
      </c>
      <c r="G315" s="8">
        <v>3490.81</v>
      </c>
      <c r="H315" s="8">
        <v>38787.99</v>
      </c>
      <c r="I315" s="8">
        <v>6783.53</v>
      </c>
      <c r="J315" s="8" t="b">
        <v>0</v>
      </c>
    </row>
    <row r="316" spans="1:10">
      <c r="A316" s="8" t="s">
        <v>137</v>
      </c>
      <c r="B316" s="8" t="s">
        <v>138</v>
      </c>
      <c r="C316" s="8" t="s">
        <v>207</v>
      </c>
      <c r="D316" s="8">
        <v>682696</v>
      </c>
      <c r="E316" s="8" t="b">
        <v>0</v>
      </c>
      <c r="F316" s="8" t="b">
        <v>0</v>
      </c>
      <c r="G316" s="8">
        <v>56529.18</v>
      </c>
      <c r="H316" s="8">
        <v>699624.33</v>
      </c>
      <c r="I316" s="8">
        <v>-16928.330000000002</v>
      </c>
      <c r="J316" s="8" t="b">
        <v>0</v>
      </c>
    </row>
    <row r="317" spans="1:10">
      <c r="A317" s="8" t="s">
        <v>169</v>
      </c>
      <c r="B317" s="8" t="s">
        <v>170</v>
      </c>
      <c r="C317" s="8" t="s">
        <v>207</v>
      </c>
      <c r="D317" s="8">
        <v>403453.8</v>
      </c>
      <c r="E317" s="8" t="b">
        <v>0</v>
      </c>
      <c r="F317" s="8" t="b">
        <v>0</v>
      </c>
      <c r="G317" s="8">
        <v>50963.48</v>
      </c>
      <c r="H317" s="8">
        <v>387180.73</v>
      </c>
      <c r="I317" s="8">
        <v>16273.07</v>
      </c>
      <c r="J317" s="8" t="b">
        <v>0</v>
      </c>
    </row>
    <row r="318" spans="1:10">
      <c r="A318" s="8" t="s">
        <v>59</v>
      </c>
      <c r="B318" s="8" t="s">
        <v>60</v>
      </c>
      <c r="C318" s="8" t="s">
        <v>210</v>
      </c>
      <c r="D318" s="8">
        <v>45930.400000000001</v>
      </c>
      <c r="E318" s="8" t="b">
        <v>0</v>
      </c>
      <c r="F318" s="8" t="b">
        <v>0</v>
      </c>
      <c r="G318" s="8">
        <v>13039.31</v>
      </c>
      <c r="H318" s="8">
        <v>37634.54</v>
      </c>
      <c r="I318" s="8">
        <v>8295.86</v>
      </c>
      <c r="J318" s="8" t="b">
        <v>0</v>
      </c>
    </row>
    <row r="319" spans="1:10">
      <c r="A319" s="8" t="s">
        <v>191</v>
      </c>
      <c r="B319" s="8" t="s">
        <v>192</v>
      </c>
      <c r="C319" s="8" t="s">
        <v>212</v>
      </c>
      <c r="D319" s="8">
        <v>26877.95</v>
      </c>
      <c r="E319" s="8" t="b">
        <v>0</v>
      </c>
      <c r="F319" s="8" t="b">
        <v>0</v>
      </c>
      <c r="G319" s="8">
        <v>0</v>
      </c>
      <c r="H319" s="8">
        <v>23078.720000000001</v>
      </c>
      <c r="I319" s="8">
        <v>3799.23</v>
      </c>
      <c r="J319" s="8" t="b">
        <v>0</v>
      </c>
    </row>
    <row r="320" spans="1:10">
      <c r="A320" s="8" t="s">
        <v>155</v>
      </c>
      <c r="B320" s="8" t="s">
        <v>156</v>
      </c>
      <c r="C320" s="8" t="s">
        <v>210</v>
      </c>
      <c r="D320" s="8">
        <v>68509</v>
      </c>
      <c r="E320" s="8" t="b">
        <v>0</v>
      </c>
      <c r="F320" s="8" t="b">
        <v>0</v>
      </c>
      <c r="G320" s="8">
        <v>0</v>
      </c>
      <c r="H320" s="8">
        <v>9621.82</v>
      </c>
      <c r="I320" s="8">
        <v>58887.18</v>
      </c>
      <c r="J320" s="8" t="b">
        <v>0</v>
      </c>
    </row>
    <row r="321" spans="1:10">
      <c r="A321" s="8" t="s">
        <v>141</v>
      </c>
      <c r="B321" s="8" t="s">
        <v>142</v>
      </c>
      <c r="C321" s="8" t="s">
        <v>208</v>
      </c>
      <c r="D321" s="8">
        <v>389225.37</v>
      </c>
      <c r="E321" s="8" t="b">
        <v>0</v>
      </c>
      <c r="F321" s="8" t="b">
        <v>0</v>
      </c>
      <c r="G321" s="8">
        <v>102645.06</v>
      </c>
      <c r="H321" s="8">
        <v>301558.44</v>
      </c>
      <c r="I321" s="8">
        <v>87666.93</v>
      </c>
      <c r="J321" s="8" t="b">
        <v>0</v>
      </c>
    </row>
    <row r="322" spans="1:10">
      <c r="A322" s="8" t="s">
        <v>45</v>
      </c>
      <c r="B322" s="8" t="s">
        <v>46</v>
      </c>
      <c r="C322" s="8" t="s">
        <v>210</v>
      </c>
      <c r="D322" s="8">
        <v>35649</v>
      </c>
      <c r="E322" s="8" t="b">
        <v>0</v>
      </c>
      <c r="F322" s="8" t="b">
        <v>0</v>
      </c>
      <c r="G322" s="8">
        <v>1561.32</v>
      </c>
      <c r="H322" s="8">
        <v>35047.79</v>
      </c>
      <c r="I322" s="8">
        <v>601.21</v>
      </c>
      <c r="J322" s="8" t="b">
        <v>0</v>
      </c>
    </row>
    <row r="323" spans="1:10">
      <c r="A323" s="8" t="s">
        <v>159</v>
      </c>
      <c r="B323" s="8" t="s">
        <v>160</v>
      </c>
      <c r="C323" s="8" t="s">
        <v>212</v>
      </c>
      <c r="D323" s="8">
        <v>73119.509999999995</v>
      </c>
      <c r="E323" s="8" t="b">
        <v>0</v>
      </c>
      <c r="F323" s="8" t="b">
        <v>0</v>
      </c>
      <c r="G323" s="8">
        <v>10787.62</v>
      </c>
      <c r="H323" s="8">
        <v>71897.539999999994</v>
      </c>
      <c r="I323" s="8">
        <v>1221.97</v>
      </c>
      <c r="J323" s="8" t="b">
        <v>0</v>
      </c>
    </row>
    <row r="324" spans="1:10">
      <c r="A324" s="8" t="s">
        <v>37</v>
      </c>
      <c r="B324" s="8" t="s">
        <v>38</v>
      </c>
      <c r="C324" s="8" t="s">
        <v>211</v>
      </c>
      <c r="D324" s="8">
        <v>30180.73</v>
      </c>
      <c r="E324" s="8" t="b">
        <v>0</v>
      </c>
      <c r="F324" s="8" t="b">
        <v>0</v>
      </c>
      <c r="G324" s="8">
        <v>1258.8800000000001</v>
      </c>
      <c r="H324" s="8">
        <v>24353.59</v>
      </c>
      <c r="I324" s="8">
        <v>5827.14</v>
      </c>
      <c r="J324" s="8" t="b">
        <v>0</v>
      </c>
    </row>
    <row r="325" spans="1:10">
      <c r="A325" s="8" t="s">
        <v>18</v>
      </c>
      <c r="B325" s="8" t="s">
        <v>19</v>
      </c>
      <c r="C325" s="8" t="s">
        <v>212</v>
      </c>
      <c r="D325" s="8">
        <v>51428</v>
      </c>
      <c r="E325" s="8" t="b">
        <v>0</v>
      </c>
      <c r="F325" s="8" t="b">
        <v>0</v>
      </c>
      <c r="G325" s="8">
        <v>7478.77</v>
      </c>
      <c r="H325" s="8">
        <v>43386.75</v>
      </c>
      <c r="I325" s="8">
        <v>8041.25</v>
      </c>
      <c r="J325" s="8" t="b">
        <v>0</v>
      </c>
    </row>
    <row r="326" spans="1:10">
      <c r="A326" s="8" t="s">
        <v>137</v>
      </c>
      <c r="B326" s="8" t="s">
        <v>138</v>
      </c>
      <c r="C326" s="8" t="s">
        <v>208</v>
      </c>
      <c r="D326" s="8">
        <v>755842</v>
      </c>
      <c r="E326" s="8" t="b">
        <v>0</v>
      </c>
      <c r="F326" s="8" t="b">
        <v>0</v>
      </c>
      <c r="G326" s="8">
        <v>0</v>
      </c>
      <c r="H326" s="8">
        <v>799822.39</v>
      </c>
      <c r="I326" s="8">
        <v>-43980.39</v>
      </c>
      <c r="J326" s="8" t="b">
        <v>0</v>
      </c>
    </row>
    <row r="327" spans="1:10">
      <c r="A327" s="8" t="s">
        <v>169</v>
      </c>
      <c r="B327" s="8" t="s">
        <v>170</v>
      </c>
      <c r="C327" s="8" t="s">
        <v>208</v>
      </c>
      <c r="D327" s="8">
        <v>256568.14</v>
      </c>
      <c r="E327" s="8" t="b">
        <v>0</v>
      </c>
      <c r="F327" s="8" t="b">
        <v>0</v>
      </c>
      <c r="G327" s="8">
        <v>10279.09</v>
      </c>
      <c r="H327" s="8">
        <v>275669.43</v>
      </c>
      <c r="I327" s="8">
        <v>-19101.29</v>
      </c>
      <c r="J327" s="8" t="b">
        <v>0</v>
      </c>
    </row>
    <row r="328" spans="1:10">
      <c r="A328" s="8" t="s">
        <v>125</v>
      </c>
      <c r="B328" s="8" t="s">
        <v>126</v>
      </c>
      <c r="C328" s="8" t="s">
        <v>212</v>
      </c>
      <c r="D328" s="8">
        <v>36339</v>
      </c>
      <c r="E328" s="8" t="b">
        <v>0</v>
      </c>
      <c r="F328" s="8" t="b">
        <v>0</v>
      </c>
      <c r="G328" s="8">
        <v>2601.48</v>
      </c>
      <c r="H328" s="8">
        <v>36138.019999999997</v>
      </c>
      <c r="I328" s="8">
        <v>200.98</v>
      </c>
      <c r="J328" s="8" t="b">
        <v>0</v>
      </c>
    </row>
    <row r="329" spans="1:10">
      <c r="A329" s="8" t="s">
        <v>183</v>
      </c>
      <c r="B329" s="8" t="s">
        <v>184</v>
      </c>
      <c r="C329" s="8" t="s">
        <v>211</v>
      </c>
      <c r="D329" s="8">
        <v>52500.45</v>
      </c>
      <c r="E329" s="8" t="b">
        <v>0</v>
      </c>
      <c r="F329" s="8" t="b">
        <v>0</v>
      </c>
      <c r="G329" s="8">
        <v>11463.04</v>
      </c>
      <c r="H329" s="8">
        <v>41424.75</v>
      </c>
      <c r="I329" s="8">
        <v>11075.7</v>
      </c>
      <c r="J329" s="8" t="b">
        <v>0</v>
      </c>
    </row>
    <row r="330" spans="1:10">
      <c r="A330" s="8" t="s">
        <v>39</v>
      </c>
      <c r="B330" s="8" t="s">
        <v>40</v>
      </c>
      <c r="C330" s="8" t="s">
        <v>212</v>
      </c>
      <c r="D330" s="8">
        <v>21496</v>
      </c>
      <c r="E330" s="8" t="b">
        <v>0</v>
      </c>
      <c r="F330" s="8" t="b">
        <v>0</v>
      </c>
      <c r="G330" s="8">
        <v>0</v>
      </c>
      <c r="H330" s="8">
        <v>23956.31</v>
      </c>
      <c r="I330" s="8">
        <v>-2460.31</v>
      </c>
      <c r="J330" s="8" t="b">
        <v>0</v>
      </c>
    </row>
    <row r="331" spans="1:10">
      <c r="A331" s="8" t="s">
        <v>43</v>
      </c>
      <c r="B331" s="8" t="s">
        <v>44</v>
      </c>
      <c r="C331" s="8" t="s">
        <v>207</v>
      </c>
      <c r="D331" s="8">
        <v>145225</v>
      </c>
      <c r="E331" s="8" t="b">
        <v>0</v>
      </c>
      <c r="F331" s="8" t="b">
        <v>0</v>
      </c>
      <c r="G331" s="8">
        <v>8517.2800000000007</v>
      </c>
      <c r="H331" s="8">
        <v>146723.70000000001</v>
      </c>
      <c r="I331" s="8">
        <v>-1498.7</v>
      </c>
      <c r="J331" s="8" t="b">
        <v>0</v>
      </c>
    </row>
    <row r="332" spans="1:10">
      <c r="A332" s="8" t="s">
        <v>107</v>
      </c>
      <c r="B332" s="8" t="s">
        <v>108</v>
      </c>
      <c r="C332" s="8" t="s">
        <v>208</v>
      </c>
      <c r="D332" s="8">
        <v>313707.61</v>
      </c>
      <c r="E332" s="8" t="b">
        <v>0</v>
      </c>
      <c r="F332" s="8" t="b">
        <v>0</v>
      </c>
      <c r="G332" s="8">
        <v>53143.199999999997</v>
      </c>
      <c r="H332" s="8">
        <v>269140.65000000002</v>
      </c>
      <c r="I332" s="8">
        <v>44566.96</v>
      </c>
      <c r="J332" s="8" t="b">
        <v>0</v>
      </c>
    </row>
    <row r="333" spans="1:10">
      <c r="A333" s="8" t="s">
        <v>49</v>
      </c>
      <c r="B333" s="8" t="s">
        <v>50</v>
      </c>
      <c r="C333" s="8" t="s">
        <v>209</v>
      </c>
      <c r="D333" s="8">
        <v>23710.560000000001</v>
      </c>
      <c r="E333" s="8" t="b">
        <v>0</v>
      </c>
      <c r="F333" s="8" t="b">
        <v>0</v>
      </c>
      <c r="G333" s="8">
        <v>0</v>
      </c>
      <c r="H333" s="8">
        <v>23554.880000000001</v>
      </c>
      <c r="I333" s="8">
        <v>155.68</v>
      </c>
      <c r="J333" s="8" t="b">
        <v>0</v>
      </c>
    </row>
    <row r="334" spans="1:10">
      <c r="A334" s="8" t="s">
        <v>159</v>
      </c>
      <c r="B334" s="8" t="s">
        <v>160</v>
      </c>
      <c r="C334" s="8" t="s">
        <v>211</v>
      </c>
      <c r="D334" s="8">
        <v>24919.51</v>
      </c>
      <c r="E334" s="8" t="b">
        <v>0</v>
      </c>
      <c r="F334" s="8" t="b">
        <v>0</v>
      </c>
      <c r="G334" s="8">
        <v>0</v>
      </c>
      <c r="H334" s="8">
        <v>23979.4</v>
      </c>
      <c r="I334" s="8">
        <v>940.11</v>
      </c>
      <c r="J334" s="8" t="b">
        <v>0</v>
      </c>
    </row>
    <row r="335" spans="1:10">
      <c r="A335" s="8" t="s">
        <v>113</v>
      </c>
      <c r="B335" s="8" t="s">
        <v>114</v>
      </c>
      <c r="C335" s="8" t="s">
        <v>209</v>
      </c>
      <c r="D335" s="8">
        <v>104330</v>
      </c>
      <c r="E335" s="8" t="b">
        <v>0</v>
      </c>
      <c r="F335" s="8" t="b">
        <v>0</v>
      </c>
      <c r="G335" s="8">
        <v>0</v>
      </c>
      <c r="H335" s="8">
        <v>97861.34</v>
      </c>
      <c r="I335" s="8">
        <v>6468.66</v>
      </c>
      <c r="J335" s="8" t="b">
        <v>0</v>
      </c>
    </row>
    <row r="336" spans="1:10">
      <c r="A336" s="8" t="s">
        <v>31</v>
      </c>
      <c r="B336" s="8" t="s">
        <v>32</v>
      </c>
      <c r="C336" s="8" t="s">
        <v>207</v>
      </c>
      <c r="D336" s="8">
        <v>213854.68</v>
      </c>
      <c r="E336" s="8" t="b">
        <v>0</v>
      </c>
      <c r="F336" s="8" t="b">
        <v>0</v>
      </c>
      <c r="G336" s="8">
        <v>22844.81</v>
      </c>
      <c r="H336" s="8">
        <v>165000.57</v>
      </c>
      <c r="I336" s="8">
        <v>48854.11</v>
      </c>
      <c r="J336" s="8" t="b">
        <v>0</v>
      </c>
    </row>
    <row r="337" spans="1:10">
      <c r="A337" s="8" t="s">
        <v>115</v>
      </c>
      <c r="B337" s="8" t="s">
        <v>116</v>
      </c>
      <c r="C337" s="8" t="s">
        <v>211</v>
      </c>
      <c r="D337" s="8">
        <v>13098</v>
      </c>
      <c r="E337" s="8" t="b">
        <v>0</v>
      </c>
      <c r="F337" s="8" t="b">
        <v>0</v>
      </c>
      <c r="G337" s="8">
        <v>2295.9</v>
      </c>
      <c r="H337" s="8">
        <v>7521.07</v>
      </c>
      <c r="I337" s="8">
        <v>5576.93</v>
      </c>
      <c r="J337" s="8" t="b">
        <v>0</v>
      </c>
    </row>
    <row r="338" spans="1:10">
      <c r="A338" s="8" t="s">
        <v>205</v>
      </c>
      <c r="B338" s="8" t="s">
        <v>206</v>
      </c>
      <c r="C338" s="8" t="s">
        <v>210</v>
      </c>
      <c r="D338" s="8">
        <v>106933.96</v>
      </c>
      <c r="E338" s="8" t="b">
        <v>0</v>
      </c>
      <c r="F338" s="8" t="b">
        <v>0</v>
      </c>
      <c r="G338" s="8">
        <v>8847.31</v>
      </c>
      <c r="H338" s="8">
        <v>94270.75</v>
      </c>
      <c r="I338" s="8">
        <v>12663.21</v>
      </c>
      <c r="J338" s="8" t="b">
        <v>0</v>
      </c>
    </row>
    <row r="339" spans="1:10">
      <c r="A339" s="8" t="s">
        <v>33</v>
      </c>
      <c r="B339" s="8" t="s">
        <v>34</v>
      </c>
      <c r="C339" s="8" t="s">
        <v>209</v>
      </c>
      <c r="D339" s="8">
        <v>55750</v>
      </c>
      <c r="E339" s="8" t="b">
        <v>0</v>
      </c>
      <c r="F339" s="8" t="b">
        <v>0</v>
      </c>
      <c r="G339" s="8">
        <v>5050.1899999999996</v>
      </c>
      <c r="H339" s="8">
        <v>51928.55</v>
      </c>
      <c r="I339" s="8">
        <v>3821.45</v>
      </c>
      <c r="J339" s="8" t="b">
        <v>0</v>
      </c>
    </row>
    <row r="340" spans="1:10">
      <c r="A340" s="8" t="s">
        <v>191</v>
      </c>
      <c r="B340" s="8" t="s">
        <v>192</v>
      </c>
      <c r="C340" s="8" t="s">
        <v>211</v>
      </c>
      <c r="D340" s="8">
        <v>26877.95</v>
      </c>
      <c r="E340" s="8" t="b">
        <v>0</v>
      </c>
      <c r="F340" s="8" t="b">
        <v>0</v>
      </c>
      <c r="G340" s="8">
        <v>0</v>
      </c>
      <c r="H340" s="8">
        <v>25668.28</v>
      </c>
      <c r="I340" s="8">
        <v>1209.67</v>
      </c>
      <c r="J340" s="8" t="b">
        <v>0</v>
      </c>
    </row>
    <row r="341" spans="1:10">
      <c r="A341" s="8" t="s">
        <v>69</v>
      </c>
      <c r="B341" s="8" t="s">
        <v>70</v>
      </c>
      <c r="C341" s="8" t="s">
        <v>207</v>
      </c>
      <c r="D341" s="8">
        <v>679699.04</v>
      </c>
      <c r="E341" s="8" t="b">
        <v>0</v>
      </c>
      <c r="F341" s="8" t="b">
        <v>0</v>
      </c>
      <c r="G341" s="8">
        <v>23716.07</v>
      </c>
      <c r="H341" s="8">
        <v>295577.51</v>
      </c>
      <c r="I341" s="8">
        <v>384121.53</v>
      </c>
      <c r="J341" s="8" t="b">
        <v>0</v>
      </c>
    </row>
    <row r="342" spans="1:10">
      <c r="A342" s="8" t="s">
        <v>55</v>
      </c>
      <c r="B342" s="8" t="s">
        <v>56</v>
      </c>
      <c r="C342" s="8" t="s">
        <v>209</v>
      </c>
      <c r="D342" s="8">
        <v>90419.25</v>
      </c>
      <c r="E342" s="8" t="b">
        <v>0</v>
      </c>
      <c r="F342" s="8" t="b">
        <v>0</v>
      </c>
      <c r="G342" s="8">
        <v>11637.21</v>
      </c>
      <c r="H342" s="8">
        <v>65616.98</v>
      </c>
      <c r="I342" s="8">
        <v>24802.27</v>
      </c>
      <c r="J342" s="8" t="b">
        <v>0</v>
      </c>
    </row>
    <row r="343" spans="1:10">
      <c r="A343" s="8" t="s">
        <v>55</v>
      </c>
      <c r="B343" s="8" t="s">
        <v>56</v>
      </c>
      <c r="C343" s="8" t="s">
        <v>210</v>
      </c>
      <c r="D343" s="8">
        <v>144880.42000000001</v>
      </c>
      <c r="E343" s="8" t="b">
        <v>0</v>
      </c>
      <c r="F343" s="8" t="b">
        <v>0</v>
      </c>
      <c r="G343" s="8">
        <v>7457.96</v>
      </c>
      <c r="H343" s="8">
        <v>129251.81</v>
      </c>
      <c r="I343" s="8">
        <v>15628.61</v>
      </c>
      <c r="J343" s="8" t="b">
        <v>0</v>
      </c>
    </row>
    <row r="344" spans="1:10">
      <c r="A344" s="8" t="s">
        <v>35</v>
      </c>
      <c r="B344" s="8" t="s">
        <v>36</v>
      </c>
      <c r="C344" s="8" t="s">
        <v>212</v>
      </c>
      <c r="D344" s="8">
        <v>21200</v>
      </c>
      <c r="E344" s="8" t="b">
        <v>0</v>
      </c>
      <c r="F344" s="8" t="b">
        <v>0</v>
      </c>
      <c r="G344" s="8">
        <v>1746.98</v>
      </c>
      <c r="H344" s="8">
        <v>15642.22</v>
      </c>
      <c r="I344" s="8">
        <v>5557.78</v>
      </c>
      <c r="J344" s="8" t="b">
        <v>0</v>
      </c>
    </row>
    <row r="345" spans="1:10">
      <c r="A345" s="8" t="s">
        <v>149</v>
      </c>
      <c r="B345" s="8" t="s">
        <v>150</v>
      </c>
      <c r="C345" s="8" t="s">
        <v>209</v>
      </c>
      <c r="D345" s="8">
        <v>88284</v>
      </c>
      <c r="E345" s="8" t="b">
        <v>0</v>
      </c>
      <c r="F345" s="8" t="b">
        <v>0</v>
      </c>
      <c r="G345" s="8">
        <v>0</v>
      </c>
      <c r="H345" s="8">
        <v>26818.79</v>
      </c>
      <c r="I345" s="8">
        <v>61465.21</v>
      </c>
      <c r="J345" s="8" t="b">
        <v>0</v>
      </c>
    </row>
    <row r="346" spans="1:10">
      <c r="A346" s="8" t="s">
        <v>149</v>
      </c>
      <c r="B346" s="8" t="s">
        <v>150</v>
      </c>
      <c r="C346" s="8" t="s">
        <v>210</v>
      </c>
      <c r="D346" s="8">
        <v>154497</v>
      </c>
      <c r="E346" s="8" t="b">
        <v>0</v>
      </c>
      <c r="F346" s="8" t="b">
        <v>0</v>
      </c>
      <c r="G346" s="8">
        <v>0</v>
      </c>
      <c r="H346" s="8">
        <v>48328.33</v>
      </c>
      <c r="I346" s="8">
        <v>106168.67</v>
      </c>
      <c r="J346" s="8" t="b">
        <v>0</v>
      </c>
    </row>
    <row r="347" spans="1:10">
      <c r="A347" s="8" t="s">
        <v>83</v>
      </c>
      <c r="B347" s="8" t="s">
        <v>84</v>
      </c>
      <c r="C347" s="8" t="s">
        <v>210</v>
      </c>
      <c r="D347" s="8">
        <v>158298</v>
      </c>
      <c r="E347" s="8" t="b">
        <v>0</v>
      </c>
      <c r="F347" s="8" t="b">
        <v>0</v>
      </c>
      <c r="G347" s="8">
        <v>24251.47</v>
      </c>
      <c r="H347" s="8">
        <v>128851.88</v>
      </c>
      <c r="I347" s="8">
        <v>29446.12</v>
      </c>
      <c r="J347" s="8" t="b">
        <v>0</v>
      </c>
    </row>
    <row r="348" spans="1:10">
      <c r="A348" s="8" t="s">
        <v>121</v>
      </c>
      <c r="B348" s="8" t="s">
        <v>122</v>
      </c>
      <c r="C348" s="8" t="s">
        <v>211</v>
      </c>
      <c r="D348" s="8">
        <v>32249.09</v>
      </c>
      <c r="E348" s="8" t="b">
        <v>0</v>
      </c>
      <c r="F348" s="8" t="b">
        <v>0</v>
      </c>
      <c r="G348" s="8">
        <v>3616.54</v>
      </c>
      <c r="H348" s="8">
        <v>28424.04</v>
      </c>
      <c r="I348" s="8">
        <v>3825.05</v>
      </c>
      <c r="J348" s="8" t="b">
        <v>0</v>
      </c>
    </row>
    <row r="349" spans="1:10">
      <c r="A349" s="8" t="s">
        <v>85</v>
      </c>
      <c r="B349" s="8" t="s">
        <v>86</v>
      </c>
      <c r="C349" s="8" t="s">
        <v>211</v>
      </c>
      <c r="D349" s="8">
        <v>12449.41</v>
      </c>
      <c r="E349" s="8" t="b">
        <v>0</v>
      </c>
      <c r="F349" s="8" t="b">
        <v>0</v>
      </c>
      <c r="G349" s="8">
        <v>1043.0999999999999</v>
      </c>
      <c r="H349" s="8">
        <v>9979.39</v>
      </c>
      <c r="I349" s="8">
        <v>2470.02</v>
      </c>
      <c r="J349" s="8" t="b">
        <v>0</v>
      </c>
    </row>
    <row r="350" spans="1:10">
      <c r="A350" s="8" t="s">
        <v>49</v>
      </c>
      <c r="B350" s="8" t="s">
        <v>50</v>
      </c>
      <c r="C350" s="8" t="s">
        <v>210</v>
      </c>
      <c r="D350" s="8">
        <v>53113.93</v>
      </c>
      <c r="E350" s="8" t="b">
        <v>0</v>
      </c>
      <c r="F350" s="8" t="b">
        <v>0</v>
      </c>
      <c r="G350" s="8">
        <v>3940.76</v>
      </c>
      <c r="H350" s="8">
        <v>46627.39</v>
      </c>
      <c r="I350" s="8">
        <v>6486.54</v>
      </c>
      <c r="J350" s="8" t="b">
        <v>0</v>
      </c>
    </row>
    <row r="351" spans="1:10">
      <c r="A351" s="8" t="s">
        <v>93</v>
      </c>
      <c r="B351" s="8" t="s">
        <v>94</v>
      </c>
      <c r="C351" s="8" t="s">
        <v>211</v>
      </c>
      <c r="D351" s="8">
        <v>13176.47</v>
      </c>
      <c r="E351" s="8" t="b">
        <v>0</v>
      </c>
      <c r="F351" s="8" t="b">
        <v>0</v>
      </c>
      <c r="G351" s="8">
        <v>340.57</v>
      </c>
      <c r="H351" s="8">
        <v>13085.94</v>
      </c>
      <c r="I351" s="8">
        <v>90.53</v>
      </c>
      <c r="J351" s="8" t="b">
        <v>0</v>
      </c>
    </row>
    <row r="352" spans="1:10">
      <c r="A352" s="8" t="s">
        <v>113</v>
      </c>
      <c r="B352" s="8" t="s">
        <v>114</v>
      </c>
      <c r="C352" s="8" t="s">
        <v>210</v>
      </c>
      <c r="D352" s="8">
        <v>146062</v>
      </c>
      <c r="E352" s="8" t="b">
        <v>0</v>
      </c>
      <c r="F352" s="8" t="b">
        <v>0</v>
      </c>
      <c r="G352" s="8">
        <v>2372.44</v>
      </c>
      <c r="H352" s="8">
        <v>150297.35999999999</v>
      </c>
      <c r="I352" s="8">
        <v>-4235.3599999999997</v>
      </c>
      <c r="J352" s="8" t="b">
        <v>0</v>
      </c>
    </row>
    <row r="353" spans="1:10">
      <c r="A353" s="8" t="s">
        <v>205</v>
      </c>
      <c r="B353" s="8" t="s">
        <v>206</v>
      </c>
      <c r="C353" s="8" t="s">
        <v>209</v>
      </c>
      <c r="D353" s="8">
        <v>61193.37</v>
      </c>
      <c r="E353" s="8" t="b">
        <v>0</v>
      </c>
      <c r="F353" s="8" t="b">
        <v>0</v>
      </c>
      <c r="G353" s="8">
        <v>3552.79</v>
      </c>
      <c r="H353" s="8">
        <v>55555.68</v>
      </c>
      <c r="I353" s="8">
        <v>5637.69</v>
      </c>
      <c r="J353" s="8" t="b">
        <v>0</v>
      </c>
    </row>
    <row r="354" spans="1:10">
      <c r="A354" s="8" t="s">
        <v>33</v>
      </c>
      <c r="B354" s="8" t="s">
        <v>34</v>
      </c>
      <c r="C354" s="8" t="s">
        <v>210</v>
      </c>
      <c r="D354" s="8">
        <v>89200</v>
      </c>
      <c r="E354" s="8" t="b">
        <v>0</v>
      </c>
      <c r="F354" s="8" t="b">
        <v>0</v>
      </c>
      <c r="G354" s="8">
        <v>15297.33</v>
      </c>
      <c r="H354" s="8">
        <v>80295.679999999993</v>
      </c>
      <c r="I354" s="8">
        <v>8904.32</v>
      </c>
      <c r="J354" s="8" t="b">
        <v>0</v>
      </c>
    </row>
    <row r="355" spans="1:10">
      <c r="A355" s="8" t="s">
        <v>87</v>
      </c>
      <c r="B355" s="8" t="s">
        <v>88</v>
      </c>
      <c r="C355" s="8" t="s">
        <v>207</v>
      </c>
      <c r="D355" s="8">
        <v>323268.62</v>
      </c>
      <c r="E355" s="8" t="b">
        <v>0</v>
      </c>
      <c r="F355" s="8" t="b">
        <v>0</v>
      </c>
      <c r="G355" s="8">
        <v>49545.58</v>
      </c>
      <c r="H355" s="8">
        <v>317870.19</v>
      </c>
      <c r="I355" s="8">
        <v>5398.43</v>
      </c>
      <c r="J355" s="8" t="b">
        <v>0</v>
      </c>
    </row>
    <row r="356" spans="1:10">
      <c r="A356" s="8" t="s">
        <v>143</v>
      </c>
      <c r="B356" s="8" t="s">
        <v>144</v>
      </c>
      <c r="C356" s="8" t="s">
        <v>211</v>
      </c>
      <c r="D356" s="8">
        <v>29711.51</v>
      </c>
      <c r="E356" s="8" t="b">
        <v>0</v>
      </c>
      <c r="F356" s="8" t="b">
        <v>0</v>
      </c>
      <c r="G356" s="8">
        <v>3550.53</v>
      </c>
      <c r="H356" s="8">
        <v>28465.59</v>
      </c>
      <c r="I356" s="8">
        <v>1245.92</v>
      </c>
      <c r="J356" s="8" t="b">
        <v>0</v>
      </c>
    </row>
    <row r="357" spans="1:10">
      <c r="A357" s="8" t="s">
        <v>141</v>
      </c>
      <c r="B357" s="8" t="s">
        <v>142</v>
      </c>
      <c r="C357" s="8" t="s">
        <v>207</v>
      </c>
      <c r="D357" s="8">
        <v>586080.43999999994</v>
      </c>
      <c r="E357" s="8" t="b">
        <v>0</v>
      </c>
      <c r="F357" s="8" t="b">
        <v>0</v>
      </c>
      <c r="G357" s="8">
        <v>96621.19</v>
      </c>
      <c r="H357" s="8">
        <v>527197.82999999996</v>
      </c>
      <c r="I357" s="8">
        <v>58882.61</v>
      </c>
      <c r="J357" s="8" t="b">
        <v>0</v>
      </c>
    </row>
    <row r="358" spans="1:10">
      <c r="A358" s="8" t="s">
        <v>83</v>
      </c>
      <c r="B358" s="8" t="s">
        <v>84</v>
      </c>
      <c r="C358" s="8" t="s">
        <v>209</v>
      </c>
      <c r="D358" s="8">
        <v>90456</v>
      </c>
      <c r="E358" s="8" t="b">
        <v>0</v>
      </c>
      <c r="F358" s="8" t="b">
        <v>0</v>
      </c>
      <c r="G358" s="8">
        <v>23760.39</v>
      </c>
      <c r="H358" s="8">
        <v>62560.03</v>
      </c>
      <c r="I358" s="8">
        <v>27895.97</v>
      </c>
      <c r="J358" s="8" t="b">
        <v>0</v>
      </c>
    </row>
    <row r="359" spans="1:10">
      <c r="A359" s="8" t="s">
        <v>11</v>
      </c>
      <c r="B359" s="8" t="s">
        <v>12</v>
      </c>
      <c r="C359" s="8" t="s">
        <v>209</v>
      </c>
      <c r="D359" s="8">
        <v>46016.92</v>
      </c>
      <c r="E359" s="8" t="b">
        <v>0</v>
      </c>
      <c r="F359" s="8" t="b">
        <v>0</v>
      </c>
      <c r="G359" s="8">
        <v>2081.75</v>
      </c>
      <c r="H359" s="8">
        <v>42535.85</v>
      </c>
      <c r="I359" s="8">
        <v>3481.07</v>
      </c>
      <c r="J359" s="8" t="b">
        <v>0</v>
      </c>
    </row>
    <row r="360" spans="1:10">
      <c r="A360" s="8" t="s">
        <v>11</v>
      </c>
      <c r="B360" s="8" t="s">
        <v>12</v>
      </c>
      <c r="C360" s="8" t="s">
        <v>210</v>
      </c>
      <c r="D360" s="8">
        <v>80484.53</v>
      </c>
      <c r="E360" s="8" t="b">
        <v>0</v>
      </c>
      <c r="F360" s="8" t="b">
        <v>0</v>
      </c>
      <c r="G360" s="8">
        <v>6100.52</v>
      </c>
      <c r="H360" s="8">
        <v>80825.350000000006</v>
      </c>
      <c r="I360" s="8">
        <v>-340.82</v>
      </c>
      <c r="J360" s="8" t="b">
        <v>0</v>
      </c>
    </row>
    <row r="361" spans="1:10">
      <c r="A361" s="8" t="s">
        <v>18</v>
      </c>
      <c r="B361" s="8" t="s">
        <v>19</v>
      </c>
      <c r="C361" s="8" t="s">
        <v>207</v>
      </c>
      <c r="D361" s="8">
        <v>308568</v>
      </c>
      <c r="E361" s="8" t="b">
        <v>0</v>
      </c>
      <c r="F361" s="8" t="b">
        <v>0</v>
      </c>
      <c r="G361" s="8">
        <v>13877.97</v>
      </c>
      <c r="H361" s="8">
        <v>300759.8</v>
      </c>
      <c r="I361" s="8">
        <v>7808.2</v>
      </c>
      <c r="J361" s="8" t="b">
        <v>0</v>
      </c>
    </row>
    <row r="362" spans="1:10">
      <c r="A362" s="8" t="s">
        <v>87</v>
      </c>
      <c r="B362" s="8" t="s">
        <v>88</v>
      </c>
      <c r="C362" s="8" t="s">
        <v>212</v>
      </c>
      <c r="D362" s="8">
        <v>63673.29</v>
      </c>
      <c r="E362" s="8" t="b">
        <v>0</v>
      </c>
      <c r="F362" s="8" t="b">
        <v>0</v>
      </c>
      <c r="G362" s="8">
        <v>323.8</v>
      </c>
      <c r="H362" s="8">
        <v>65610.81</v>
      </c>
      <c r="I362" s="8">
        <v>-1937.52</v>
      </c>
      <c r="J362" s="8" t="b">
        <v>0</v>
      </c>
    </row>
    <row r="363" spans="1:10">
      <c r="A363" s="8" t="s">
        <v>137</v>
      </c>
      <c r="B363" s="8" t="s">
        <v>138</v>
      </c>
      <c r="C363" s="8" t="s">
        <v>211</v>
      </c>
      <c r="D363" s="8">
        <v>48764</v>
      </c>
      <c r="E363" s="8" t="b">
        <v>0</v>
      </c>
      <c r="F363" s="8" t="b">
        <v>0</v>
      </c>
      <c r="G363" s="8">
        <v>7474.08</v>
      </c>
      <c r="H363" s="8">
        <v>46205.63</v>
      </c>
      <c r="I363" s="8">
        <v>2558.37</v>
      </c>
      <c r="J363" s="8" t="b">
        <v>0</v>
      </c>
    </row>
    <row r="364" spans="1:10">
      <c r="A364" s="8" t="s">
        <v>169</v>
      </c>
      <c r="B364" s="8" t="s">
        <v>170</v>
      </c>
      <c r="C364" s="8" t="s">
        <v>211</v>
      </c>
      <c r="D364" s="8">
        <v>37193.870000000003</v>
      </c>
      <c r="E364" s="8" t="b">
        <v>0</v>
      </c>
      <c r="F364" s="8" t="b">
        <v>0</v>
      </c>
      <c r="G364" s="8">
        <v>4856.53</v>
      </c>
      <c r="H364" s="8">
        <v>36027.760000000002</v>
      </c>
      <c r="I364" s="8">
        <v>1166.1099999999999</v>
      </c>
      <c r="J364" s="8" t="b">
        <v>0</v>
      </c>
    </row>
    <row r="365" spans="1:10">
      <c r="A365" s="8" t="s">
        <v>181</v>
      </c>
      <c r="B365" s="8" t="s">
        <v>182</v>
      </c>
      <c r="C365" s="8" t="s">
        <v>209</v>
      </c>
      <c r="D365" s="8">
        <v>16666.22</v>
      </c>
      <c r="E365" s="8" t="b">
        <v>0</v>
      </c>
      <c r="F365" s="8" t="b">
        <v>0</v>
      </c>
      <c r="G365" s="8">
        <v>924.39</v>
      </c>
      <c r="H365" s="8">
        <v>16233.86</v>
      </c>
      <c r="I365" s="8">
        <v>432.36</v>
      </c>
      <c r="J365" s="8" t="b">
        <v>0</v>
      </c>
    </row>
    <row r="366" spans="1:10">
      <c r="A366" s="8" t="s">
        <v>181</v>
      </c>
      <c r="B366" s="8" t="s">
        <v>182</v>
      </c>
      <c r="C366" s="8" t="s">
        <v>210</v>
      </c>
      <c r="D366" s="8">
        <v>29093.03</v>
      </c>
      <c r="E366" s="8" t="b">
        <v>0</v>
      </c>
      <c r="F366" s="8" t="b">
        <v>0</v>
      </c>
      <c r="G366" s="8">
        <v>4707.92</v>
      </c>
      <c r="H366" s="8">
        <v>28550.74</v>
      </c>
      <c r="I366" s="8">
        <v>542.29</v>
      </c>
      <c r="J366" s="8" t="b">
        <v>0</v>
      </c>
    </row>
    <row r="367" spans="1:10">
      <c r="A367" s="8" t="s">
        <v>127</v>
      </c>
      <c r="B367" s="8" t="s">
        <v>128</v>
      </c>
      <c r="C367" s="8" t="s">
        <v>209</v>
      </c>
      <c r="D367" s="8">
        <v>112286.39999999999</v>
      </c>
      <c r="E367" s="8" t="b">
        <v>0</v>
      </c>
      <c r="F367" s="8" t="b">
        <v>0</v>
      </c>
      <c r="G367" s="8">
        <v>18369.5</v>
      </c>
      <c r="H367" s="8">
        <v>97000.67</v>
      </c>
      <c r="I367" s="8">
        <v>15285.73</v>
      </c>
      <c r="J367" s="8" t="b">
        <v>0</v>
      </c>
    </row>
    <row r="368" spans="1:10">
      <c r="A368" s="8" t="s">
        <v>127</v>
      </c>
      <c r="B368" s="8" t="s">
        <v>128</v>
      </c>
      <c r="C368" s="8" t="s">
        <v>210</v>
      </c>
      <c r="D368" s="8">
        <v>157673.32999999999</v>
      </c>
      <c r="E368" s="8" t="b">
        <v>0</v>
      </c>
      <c r="F368" s="8" t="b">
        <v>0</v>
      </c>
      <c r="G368" s="8">
        <v>18530.650000000001</v>
      </c>
      <c r="H368" s="8">
        <v>153410.19</v>
      </c>
      <c r="I368" s="8">
        <v>4263.1400000000003</v>
      </c>
      <c r="J368" s="8" t="b">
        <v>0</v>
      </c>
    </row>
    <row r="369" spans="1:10">
      <c r="A369" s="8" t="s">
        <v>141</v>
      </c>
      <c r="B369" s="8" t="s">
        <v>142</v>
      </c>
      <c r="C369" s="8" t="s">
        <v>212</v>
      </c>
      <c r="D369" s="8">
        <v>51670.03</v>
      </c>
      <c r="E369" s="8" t="b">
        <v>0</v>
      </c>
      <c r="F369" s="8" t="b">
        <v>0</v>
      </c>
      <c r="G369" s="8">
        <v>0</v>
      </c>
      <c r="H369" s="8">
        <v>54073.24</v>
      </c>
      <c r="I369" s="8">
        <v>-2403.21</v>
      </c>
      <c r="J369" s="8" t="b">
        <v>0</v>
      </c>
    </row>
    <row r="370" spans="1:10">
      <c r="A370" s="8" t="s">
        <v>43</v>
      </c>
      <c r="B370" s="8" t="s">
        <v>44</v>
      </c>
      <c r="C370" s="8" t="s">
        <v>212</v>
      </c>
      <c r="D370" s="8">
        <v>23236</v>
      </c>
      <c r="E370" s="8" t="b">
        <v>0</v>
      </c>
      <c r="F370" s="8" t="b">
        <v>0</v>
      </c>
      <c r="G370" s="8">
        <v>2657.67</v>
      </c>
      <c r="H370" s="8">
        <v>22239.78</v>
      </c>
      <c r="I370" s="8">
        <v>996.22</v>
      </c>
      <c r="J370" s="8" t="b">
        <v>0</v>
      </c>
    </row>
    <row r="371" spans="1:10">
      <c r="A371" s="8" t="s">
        <v>107</v>
      </c>
      <c r="B371" s="8" t="s">
        <v>108</v>
      </c>
      <c r="C371" s="8" t="s">
        <v>211</v>
      </c>
      <c r="D371" s="8">
        <v>29635.68</v>
      </c>
      <c r="E371" s="8" t="b">
        <v>0</v>
      </c>
      <c r="F371" s="8" t="b">
        <v>0</v>
      </c>
      <c r="G371" s="8">
        <v>2550.7600000000002</v>
      </c>
      <c r="H371" s="8">
        <v>27236.99</v>
      </c>
      <c r="I371" s="8">
        <v>2398.69</v>
      </c>
      <c r="J371" s="8" t="b">
        <v>0</v>
      </c>
    </row>
    <row r="372" spans="1:10">
      <c r="A372" s="8" t="s">
        <v>121</v>
      </c>
      <c r="B372" s="8" t="s">
        <v>122</v>
      </c>
      <c r="C372" s="8" t="s">
        <v>208</v>
      </c>
      <c r="D372" s="8">
        <v>301937.83</v>
      </c>
      <c r="E372" s="8" t="b">
        <v>0</v>
      </c>
      <c r="F372" s="8" t="b">
        <v>0</v>
      </c>
      <c r="G372" s="8">
        <v>40609.42</v>
      </c>
      <c r="H372" s="8">
        <v>281852.59000000003</v>
      </c>
      <c r="I372" s="8">
        <v>20085.240000000002</v>
      </c>
      <c r="J372" s="8" t="b">
        <v>0</v>
      </c>
    </row>
    <row r="373" spans="1:10">
      <c r="A373" s="8" t="s">
        <v>85</v>
      </c>
      <c r="B373" s="8" t="s">
        <v>86</v>
      </c>
      <c r="C373" s="8" t="s">
        <v>208</v>
      </c>
      <c r="D373" s="8">
        <v>84058.25</v>
      </c>
      <c r="E373" s="8" t="b">
        <v>0</v>
      </c>
      <c r="F373" s="8" t="b">
        <v>0</v>
      </c>
      <c r="G373" s="8">
        <v>0</v>
      </c>
      <c r="H373" s="8">
        <v>78497.81</v>
      </c>
      <c r="I373" s="8">
        <v>5560.44</v>
      </c>
      <c r="J373" s="8" t="b">
        <v>0</v>
      </c>
    </row>
    <row r="374" spans="1:10">
      <c r="A374" s="8" t="s">
        <v>175</v>
      </c>
      <c r="B374" s="8" t="s">
        <v>176</v>
      </c>
      <c r="C374" s="8" t="s">
        <v>209</v>
      </c>
      <c r="D374" s="8">
        <v>20820</v>
      </c>
      <c r="E374" s="8" t="b">
        <v>0</v>
      </c>
      <c r="F374" s="8" t="b">
        <v>0</v>
      </c>
      <c r="G374" s="8">
        <v>4727.83</v>
      </c>
      <c r="H374" s="8">
        <v>18345.8</v>
      </c>
      <c r="I374" s="8">
        <v>2474.1999999999998</v>
      </c>
      <c r="J374" s="8" t="b">
        <v>0</v>
      </c>
    </row>
    <row r="375" spans="1:10">
      <c r="A375" s="8" t="s">
        <v>175</v>
      </c>
      <c r="B375" s="8" t="s">
        <v>176</v>
      </c>
      <c r="C375" s="8" t="s">
        <v>210</v>
      </c>
      <c r="D375" s="8">
        <v>46845</v>
      </c>
      <c r="E375" s="8" t="b">
        <v>0</v>
      </c>
      <c r="F375" s="8" t="b">
        <v>0</v>
      </c>
      <c r="G375" s="8">
        <v>0</v>
      </c>
      <c r="H375" s="8">
        <v>51375.19</v>
      </c>
      <c r="I375" s="8">
        <v>-4530.1899999999996</v>
      </c>
      <c r="J375" s="8" t="b">
        <v>0</v>
      </c>
    </row>
    <row r="376" spans="1:10">
      <c r="A376" s="8" t="s">
        <v>159</v>
      </c>
      <c r="B376" s="8" t="s">
        <v>160</v>
      </c>
      <c r="C376" s="8" t="s">
        <v>208</v>
      </c>
      <c r="D376" s="8">
        <v>384613.33</v>
      </c>
      <c r="E376" s="8" t="b">
        <v>0</v>
      </c>
      <c r="F376" s="8" t="b">
        <v>0</v>
      </c>
      <c r="G376" s="8">
        <v>0</v>
      </c>
      <c r="H376" s="8">
        <v>418100.02</v>
      </c>
      <c r="I376" s="8">
        <v>-33486.69</v>
      </c>
      <c r="J376" s="8" t="b">
        <v>0</v>
      </c>
    </row>
    <row r="377" spans="1:10">
      <c r="A377" s="8" t="s">
        <v>93</v>
      </c>
      <c r="B377" s="8" t="s">
        <v>94</v>
      </c>
      <c r="C377" s="8" t="s">
        <v>208</v>
      </c>
      <c r="D377" s="8">
        <v>203362.22</v>
      </c>
      <c r="E377" s="8" t="b">
        <v>0</v>
      </c>
      <c r="F377" s="8" t="b">
        <v>0</v>
      </c>
      <c r="G377" s="8">
        <v>6718.61</v>
      </c>
      <c r="H377" s="8">
        <v>206163.44</v>
      </c>
      <c r="I377" s="8">
        <v>-2801.22</v>
      </c>
      <c r="J377" s="8" t="b">
        <v>0</v>
      </c>
    </row>
    <row r="378" spans="1:10">
      <c r="A378" s="8" t="s">
        <v>31</v>
      </c>
      <c r="B378" s="8" t="s">
        <v>32</v>
      </c>
      <c r="C378" s="8" t="s">
        <v>212</v>
      </c>
      <c r="D378" s="8">
        <v>36230.92</v>
      </c>
      <c r="E378" s="8" t="b">
        <v>0</v>
      </c>
      <c r="F378" s="8" t="b">
        <v>0</v>
      </c>
      <c r="G378" s="8">
        <v>5437.53</v>
      </c>
      <c r="H378" s="8">
        <v>26845.54</v>
      </c>
      <c r="I378" s="8">
        <v>9385.3799999999992</v>
      </c>
      <c r="J378" s="8" t="b">
        <v>0</v>
      </c>
    </row>
    <row r="379" spans="1:10">
      <c r="A379" s="8" t="s">
        <v>35</v>
      </c>
      <c r="B379" s="8" t="s">
        <v>36</v>
      </c>
      <c r="C379" s="8" t="s">
        <v>207</v>
      </c>
      <c r="D379" s="8">
        <v>132500</v>
      </c>
      <c r="E379" s="8" t="b">
        <v>0</v>
      </c>
      <c r="F379" s="8" t="b">
        <v>0</v>
      </c>
      <c r="G379" s="8">
        <v>0</v>
      </c>
      <c r="H379" s="8">
        <v>109063.37</v>
      </c>
      <c r="I379" s="8">
        <v>23436.63</v>
      </c>
      <c r="J379" s="8" t="b">
        <v>0</v>
      </c>
    </row>
    <row r="380" spans="1:10">
      <c r="A380" s="8" t="s">
        <v>37</v>
      </c>
      <c r="B380" s="8" t="s">
        <v>38</v>
      </c>
      <c r="C380" s="8" t="s">
        <v>208</v>
      </c>
      <c r="D380" s="8">
        <v>465587.98</v>
      </c>
      <c r="E380" s="8" t="b">
        <v>0</v>
      </c>
      <c r="F380" s="8" t="b">
        <v>0</v>
      </c>
      <c r="G380" s="8">
        <v>26507.74</v>
      </c>
      <c r="H380" s="8">
        <v>424211.79</v>
      </c>
      <c r="I380" s="8">
        <v>41376.19</v>
      </c>
      <c r="J380" s="8" t="b">
        <v>0</v>
      </c>
    </row>
    <row r="381" spans="1:10">
      <c r="A381" s="8" t="s">
        <v>125</v>
      </c>
      <c r="B381" s="8" t="s">
        <v>126</v>
      </c>
      <c r="C381" s="8" t="s">
        <v>207</v>
      </c>
      <c r="D381" s="8">
        <v>351277</v>
      </c>
      <c r="E381" s="8" t="b">
        <v>0</v>
      </c>
      <c r="F381" s="8" t="b">
        <v>0</v>
      </c>
      <c r="G381" s="8">
        <v>58598.43</v>
      </c>
      <c r="H381" s="8">
        <v>340653.65</v>
      </c>
      <c r="I381" s="8">
        <v>10623.35</v>
      </c>
      <c r="J381" s="8" t="b">
        <v>0</v>
      </c>
    </row>
    <row r="382" spans="1:10">
      <c r="A382" s="8" t="s">
        <v>183</v>
      </c>
      <c r="B382" s="8" t="s">
        <v>184</v>
      </c>
      <c r="C382" s="8" t="s">
        <v>208</v>
      </c>
      <c r="D382" s="8">
        <v>545536.62</v>
      </c>
      <c r="E382" s="8" t="b">
        <v>0</v>
      </c>
      <c r="F382" s="8" t="b">
        <v>0</v>
      </c>
      <c r="G382" s="8">
        <v>48134.94</v>
      </c>
      <c r="H382" s="8">
        <v>550639.72</v>
      </c>
      <c r="I382" s="8">
        <v>-5103.1000000000004</v>
      </c>
      <c r="J382" s="8" t="b">
        <v>0</v>
      </c>
    </row>
    <row r="383" spans="1:10">
      <c r="A383" s="8" t="s">
        <v>39</v>
      </c>
      <c r="B383" s="8" t="s">
        <v>40</v>
      </c>
      <c r="C383" s="8" t="s">
        <v>207</v>
      </c>
      <c r="D383" s="8">
        <v>128976</v>
      </c>
      <c r="E383" s="8" t="b">
        <v>0</v>
      </c>
      <c r="F383" s="8" t="b">
        <v>0</v>
      </c>
      <c r="G383" s="8">
        <v>29704.13</v>
      </c>
      <c r="H383" s="8">
        <v>107859.85</v>
      </c>
      <c r="I383" s="8">
        <v>21116.15</v>
      </c>
      <c r="J383" s="8" t="b">
        <v>0</v>
      </c>
    </row>
    <row r="384" spans="1:10">
      <c r="A384" s="8" t="s">
        <v>143</v>
      </c>
      <c r="B384" s="8" t="s">
        <v>144</v>
      </c>
      <c r="C384" s="8" t="s">
        <v>208</v>
      </c>
      <c r="D384" s="8">
        <v>307825.11</v>
      </c>
      <c r="E384" s="8" t="b">
        <v>0</v>
      </c>
      <c r="F384" s="8" t="b">
        <v>0</v>
      </c>
      <c r="G384" s="8">
        <v>64768.61</v>
      </c>
      <c r="H384" s="8">
        <v>272186.48</v>
      </c>
      <c r="I384" s="8">
        <v>35638.629999999997</v>
      </c>
      <c r="J384" s="8" t="b">
        <v>0</v>
      </c>
    </row>
    <row r="385" spans="1:10">
      <c r="A385" s="8" t="s">
        <v>41</v>
      </c>
      <c r="B385" s="8" t="s">
        <v>42</v>
      </c>
      <c r="C385" s="8" t="s">
        <v>209</v>
      </c>
      <c r="D385" s="8">
        <v>25561.51</v>
      </c>
      <c r="E385" s="8" t="b">
        <v>0</v>
      </c>
      <c r="F385" s="8" t="b">
        <v>0</v>
      </c>
      <c r="G385" s="8">
        <v>4199.1000000000004</v>
      </c>
      <c r="H385" s="8">
        <v>22356.71</v>
      </c>
      <c r="I385" s="8">
        <v>3204.8</v>
      </c>
      <c r="J385" s="8" t="b">
        <v>0</v>
      </c>
    </row>
    <row r="386" spans="1:10">
      <c r="A386" s="8" t="s">
        <v>41</v>
      </c>
      <c r="B386" s="8" t="s">
        <v>42</v>
      </c>
      <c r="C386" s="8" t="s">
        <v>210</v>
      </c>
      <c r="D386" s="8">
        <v>57260.51</v>
      </c>
      <c r="E386" s="8" t="b">
        <v>0</v>
      </c>
      <c r="F386" s="8" t="b">
        <v>0</v>
      </c>
      <c r="G386" s="8">
        <v>1523.47</v>
      </c>
      <c r="H386" s="8">
        <v>63044.65</v>
      </c>
      <c r="I386" s="8">
        <v>-5784.14</v>
      </c>
      <c r="J386" s="8" t="b">
        <v>0</v>
      </c>
    </row>
    <row r="387" spans="1:10">
      <c r="A387" s="8" t="s">
        <v>47</v>
      </c>
      <c r="B387" s="8" t="s">
        <v>48</v>
      </c>
      <c r="C387" s="8" t="s">
        <v>210</v>
      </c>
      <c r="D387" s="8">
        <v>96790.61</v>
      </c>
      <c r="E387" s="8" t="b">
        <v>0</v>
      </c>
      <c r="F387" s="8" t="b">
        <v>0</v>
      </c>
      <c r="G387" s="8">
        <v>12232.7</v>
      </c>
      <c r="H387" s="8">
        <v>97591.54</v>
      </c>
      <c r="I387" s="8">
        <v>-800.93</v>
      </c>
      <c r="J387" s="8" t="b">
        <v>0</v>
      </c>
    </row>
    <row r="388" spans="1:10">
      <c r="A388" s="8" t="s">
        <v>115</v>
      </c>
      <c r="B388" s="8" t="s">
        <v>116</v>
      </c>
      <c r="C388" s="8" t="s">
        <v>208</v>
      </c>
      <c r="D388" s="8">
        <v>122248</v>
      </c>
      <c r="E388" s="8" t="b">
        <v>0</v>
      </c>
      <c r="F388" s="8" t="b">
        <v>0</v>
      </c>
      <c r="G388" s="8">
        <v>6120.34</v>
      </c>
      <c r="H388" s="8">
        <v>93722.5</v>
      </c>
      <c r="I388" s="8">
        <v>28525.5</v>
      </c>
      <c r="J388" s="8" t="b">
        <v>0</v>
      </c>
    </row>
    <row r="389" spans="1:10">
      <c r="A389" s="8" t="s">
        <v>191</v>
      </c>
      <c r="B389" s="8" t="s">
        <v>192</v>
      </c>
      <c r="C389" s="8" t="s">
        <v>208</v>
      </c>
      <c r="D389" s="8">
        <v>243066.81</v>
      </c>
      <c r="E389" s="8" t="b">
        <v>0</v>
      </c>
      <c r="F389" s="8" t="b">
        <v>0</v>
      </c>
      <c r="G389" s="8">
        <v>27307.21</v>
      </c>
      <c r="H389" s="8">
        <v>192487.09</v>
      </c>
      <c r="I389" s="8">
        <v>50579.72</v>
      </c>
      <c r="J389" s="8" t="b">
        <v>0</v>
      </c>
    </row>
    <row r="390" spans="1:10">
      <c r="A390" s="8" t="s">
        <v>69</v>
      </c>
      <c r="B390" s="8" t="s">
        <v>70</v>
      </c>
      <c r="C390" s="8" t="s">
        <v>212</v>
      </c>
      <c r="D390" s="8">
        <v>70006.25</v>
      </c>
      <c r="E390" s="8" t="b">
        <v>0</v>
      </c>
      <c r="F390" s="8" t="b">
        <v>0</v>
      </c>
      <c r="G390" s="8">
        <v>4533.93</v>
      </c>
      <c r="H390" s="8">
        <v>27890.75</v>
      </c>
      <c r="I390" s="8">
        <v>42115.5</v>
      </c>
      <c r="J390" s="8" t="b">
        <v>0</v>
      </c>
    </row>
    <row r="391" spans="1:10">
      <c r="A391" s="8" t="s">
        <v>47</v>
      </c>
      <c r="B391" s="8" t="s">
        <v>48</v>
      </c>
      <c r="C391" s="8" t="s">
        <v>209</v>
      </c>
      <c r="D391" s="8">
        <v>43102.76</v>
      </c>
      <c r="E391" s="8" t="b">
        <v>0</v>
      </c>
      <c r="F391" s="8" t="b">
        <v>0</v>
      </c>
      <c r="G391" s="8">
        <v>4066.1</v>
      </c>
      <c r="H391" s="8">
        <v>40631.050000000003</v>
      </c>
      <c r="I391" s="8">
        <v>2471.71</v>
      </c>
      <c r="J391" s="8" t="b">
        <v>0</v>
      </c>
    </row>
    <row r="392" spans="1:10">
      <c r="A392" s="8" t="s">
        <v>25</v>
      </c>
      <c r="B392" s="8" t="s">
        <v>26</v>
      </c>
      <c r="C392" s="8" t="s">
        <v>211</v>
      </c>
      <c r="D392" s="8">
        <v>13586.52</v>
      </c>
      <c r="E392" s="8" t="b">
        <v>0</v>
      </c>
      <c r="F392" s="8" t="b">
        <v>0</v>
      </c>
      <c r="G392" s="8">
        <v>2219.5500000000002</v>
      </c>
      <c r="H392" s="8">
        <v>12869.9</v>
      </c>
      <c r="I392" s="8">
        <v>716.62</v>
      </c>
      <c r="J392" s="8" t="b">
        <v>0</v>
      </c>
    </row>
    <row r="393" spans="1:10">
      <c r="A393" s="8" t="s">
        <v>197</v>
      </c>
      <c r="B393" s="8" t="s">
        <v>198</v>
      </c>
      <c r="C393" s="8" t="s">
        <v>207</v>
      </c>
      <c r="D393" s="8">
        <v>663513.56000000006</v>
      </c>
      <c r="E393" s="8" t="b">
        <v>0</v>
      </c>
      <c r="F393" s="8" t="b">
        <v>0</v>
      </c>
      <c r="G393" s="8">
        <v>189201.43</v>
      </c>
      <c r="H393" s="8">
        <v>564301.71</v>
      </c>
      <c r="I393" s="8">
        <v>99211.85</v>
      </c>
      <c r="J393" s="8" t="b">
        <v>0</v>
      </c>
    </row>
    <row r="394" spans="1:10">
      <c r="A394" s="8" t="s">
        <v>29</v>
      </c>
      <c r="B394" s="8" t="s">
        <v>30</v>
      </c>
      <c r="C394" s="8" t="s">
        <v>211</v>
      </c>
      <c r="D394" s="8">
        <v>89576.08</v>
      </c>
      <c r="E394" s="8" t="b">
        <v>0</v>
      </c>
      <c r="F394" s="8" t="b">
        <v>0</v>
      </c>
      <c r="G394" s="8">
        <v>0</v>
      </c>
      <c r="H394" s="8">
        <v>85307.05</v>
      </c>
      <c r="I394" s="8">
        <v>4269.03</v>
      </c>
      <c r="J394" s="8" t="b">
        <v>0</v>
      </c>
    </row>
    <row r="395" spans="1:10">
      <c r="A395" s="8" t="s">
        <v>73</v>
      </c>
      <c r="B395" s="8" t="s">
        <v>74</v>
      </c>
      <c r="C395" s="8" t="s">
        <v>211</v>
      </c>
      <c r="D395" s="8">
        <v>16947.64</v>
      </c>
      <c r="E395" s="8" t="b">
        <v>0</v>
      </c>
      <c r="F395" s="8" t="b">
        <v>0</v>
      </c>
      <c r="G395" s="8">
        <v>1730.5</v>
      </c>
      <c r="H395" s="8">
        <v>14513.98</v>
      </c>
      <c r="I395" s="8">
        <v>2433.66</v>
      </c>
      <c r="J395" s="8" t="b">
        <v>0</v>
      </c>
    </row>
    <row r="396" spans="1:10">
      <c r="A396" s="8" t="s">
        <v>27</v>
      </c>
      <c r="B396" s="8" t="s">
        <v>28</v>
      </c>
      <c r="C396" s="8" t="s">
        <v>211</v>
      </c>
      <c r="D396" s="8">
        <v>25515</v>
      </c>
      <c r="E396" s="8" t="b">
        <v>0</v>
      </c>
      <c r="F396" s="8" t="b">
        <v>0</v>
      </c>
      <c r="G396" s="8">
        <v>1858.78</v>
      </c>
      <c r="H396" s="8">
        <v>25420.05</v>
      </c>
      <c r="I396" s="8">
        <v>94.95</v>
      </c>
      <c r="J396" s="8" t="b">
        <v>0</v>
      </c>
    </row>
    <row r="397" spans="1:10">
      <c r="A397" s="8" t="s">
        <v>199</v>
      </c>
      <c r="B397" s="8" t="s">
        <v>200</v>
      </c>
      <c r="C397" s="8" t="s">
        <v>209</v>
      </c>
      <c r="D397" s="8">
        <v>106390</v>
      </c>
      <c r="E397" s="8" t="b">
        <v>0</v>
      </c>
      <c r="F397" s="8" t="b">
        <v>0</v>
      </c>
      <c r="G397" s="8">
        <v>9462.23</v>
      </c>
      <c r="H397" s="8">
        <v>94887.39</v>
      </c>
      <c r="I397" s="8">
        <v>11502.61</v>
      </c>
      <c r="J397" s="8" t="b">
        <v>0</v>
      </c>
    </row>
    <row r="398" spans="1:10">
      <c r="A398" s="8" t="s">
        <v>199</v>
      </c>
      <c r="B398" s="8" t="s">
        <v>200</v>
      </c>
      <c r="C398" s="8" t="s">
        <v>210</v>
      </c>
      <c r="D398" s="8">
        <v>170224</v>
      </c>
      <c r="E398" s="8" t="b">
        <v>0</v>
      </c>
      <c r="F398" s="8" t="b">
        <v>0</v>
      </c>
      <c r="G398" s="8">
        <v>23835.55</v>
      </c>
      <c r="H398" s="8">
        <v>146184.35999999999</v>
      </c>
      <c r="I398" s="8">
        <v>24039.64</v>
      </c>
      <c r="J398" s="8" t="b">
        <v>0</v>
      </c>
    </row>
    <row r="399" spans="1:10">
      <c r="A399" s="8" t="s">
        <v>119</v>
      </c>
      <c r="B399" s="8" t="s">
        <v>120</v>
      </c>
      <c r="C399" s="8" t="s">
        <v>211</v>
      </c>
      <c r="D399" s="8">
        <v>29968.68</v>
      </c>
      <c r="E399" s="8" t="b">
        <v>0</v>
      </c>
      <c r="F399" s="8" t="b">
        <v>0</v>
      </c>
      <c r="G399" s="8">
        <v>8238.2800000000007</v>
      </c>
      <c r="H399" s="8">
        <v>18296.240000000002</v>
      </c>
      <c r="I399" s="8">
        <v>11672.44</v>
      </c>
      <c r="J399" s="8" t="b">
        <v>0</v>
      </c>
    </row>
    <row r="400" spans="1:10">
      <c r="A400" s="8" t="s">
        <v>61</v>
      </c>
      <c r="B400" s="8" t="s">
        <v>62</v>
      </c>
      <c r="C400" s="8" t="s">
        <v>211</v>
      </c>
      <c r="D400" s="8">
        <v>31527.15</v>
      </c>
      <c r="E400" s="8" t="b">
        <v>0</v>
      </c>
      <c r="F400" s="8" t="b">
        <v>0</v>
      </c>
      <c r="G400" s="8">
        <v>0</v>
      </c>
      <c r="H400" s="8">
        <v>31545.75</v>
      </c>
      <c r="I400" s="8">
        <v>-18.600000000000001</v>
      </c>
      <c r="J400" s="8" t="b">
        <v>0</v>
      </c>
    </row>
    <row r="401" spans="1:10">
      <c r="A401" s="8" t="s">
        <v>189</v>
      </c>
      <c r="B401" s="8" t="s">
        <v>190</v>
      </c>
      <c r="C401" s="8" t="s">
        <v>209</v>
      </c>
      <c r="D401" s="8">
        <v>77329.48</v>
      </c>
      <c r="E401" s="8" t="b">
        <v>0</v>
      </c>
      <c r="F401" s="8" t="b">
        <v>0</v>
      </c>
      <c r="G401" s="8">
        <v>12339.49</v>
      </c>
      <c r="H401" s="8">
        <v>64897.56</v>
      </c>
      <c r="I401" s="8">
        <v>12431.92</v>
      </c>
      <c r="J401" s="8" t="b">
        <v>0</v>
      </c>
    </row>
    <row r="402" spans="1:10">
      <c r="A402" s="8" t="s">
        <v>189</v>
      </c>
      <c r="B402" s="8" t="s">
        <v>190</v>
      </c>
      <c r="C402" s="8" t="s">
        <v>210</v>
      </c>
      <c r="D402" s="8">
        <v>123632.14</v>
      </c>
      <c r="E402" s="8" t="b">
        <v>0</v>
      </c>
      <c r="F402" s="8" t="b">
        <v>0</v>
      </c>
      <c r="G402" s="8">
        <v>15100.43</v>
      </c>
      <c r="H402" s="8">
        <v>110402.66</v>
      </c>
      <c r="I402" s="8">
        <v>13229.48</v>
      </c>
      <c r="J402" s="8" t="b">
        <v>0</v>
      </c>
    </row>
    <row r="403" spans="1:10">
      <c r="A403" s="8" t="s">
        <v>201</v>
      </c>
      <c r="B403" s="8" t="s">
        <v>202</v>
      </c>
      <c r="C403" s="8" t="s">
        <v>207</v>
      </c>
      <c r="D403" s="8">
        <v>707829</v>
      </c>
      <c r="E403" s="8" t="b">
        <v>0</v>
      </c>
      <c r="F403" s="8" t="b">
        <v>0</v>
      </c>
      <c r="G403" s="8">
        <v>33385.15</v>
      </c>
      <c r="H403" s="8">
        <v>785779.44</v>
      </c>
      <c r="I403" s="8">
        <v>-77950.44</v>
      </c>
      <c r="J403" s="8" t="b">
        <v>0</v>
      </c>
    </row>
    <row r="404" spans="1:10">
      <c r="A404" s="8" t="s">
        <v>133</v>
      </c>
      <c r="B404" s="8" t="s">
        <v>134</v>
      </c>
      <c r="C404" s="8" t="s">
        <v>209</v>
      </c>
      <c r="D404" s="8">
        <v>67439.149999999994</v>
      </c>
      <c r="E404" s="8" t="b">
        <v>0</v>
      </c>
      <c r="F404" s="8" t="b">
        <v>0</v>
      </c>
      <c r="G404" s="8">
        <v>5417</v>
      </c>
      <c r="H404" s="8">
        <v>61789.87</v>
      </c>
      <c r="I404" s="8">
        <v>5649.28</v>
      </c>
      <c r="J404" s="8" t="b">
        <v>0</v>
      </c>
    </row>
    <row r="405" spans="1:10">
      <c r="A405" s="8" t="s">
        <v>145</v>
      </c>
      <c r="B405" s="8" t="s">
        <v>146</v>
      </c>
      <c r="C405" s="8" t="s">
        <v>208</v>
      </c>
      <c r="D405" s="8">
        <v>183312.98</v>
      </c>
      <c r="E405" s="8" t="b">
        <v>0</v>
      </c>
      <c r="F405" s="8" t="b">
        <v>0</v>
      </c>
      <c r="G405" s="8">
        <v>35940.22</v>
      </c>
      <c r="H405" s="8">
        <v>147539.47</v>
      </c>
      <c r="I405" s="8">
        <v>35773.51</v>
      </c>
      <c r="J405" s="8" t="b">
        <v>0</v>
      </c>
    </row>
    <row r="406" spans="1:10">
      <c r="A406" s="8" t="s">
        <v>161</v>
      </c>
      <c r="B406" s="8" t="s">
        <v>162</v>
      </c>
      <c r="C406" s="8" t="s">
        <v>208</v>
      </c>
      <c r="D406" s="8">
        <v>317623.34000000003</v>
      </c>
      <c r="E406" s="8" t="b">
        <v>0</v>
      </c>
      <c r="F406" s="8" t="b">
        <v>0</v>
      </c>
      <c r="G406" s="8">
        <v>20249.37</v>
      </c>
      <c r="H406" s="8">
        <v>337621.22</v>
      </c>
      <c r="I406" s="8">
        <v>-19997.88</v>
      </c>
      <c r="J406" s="8" t="b">
        <v>0</v>
      </c>
    </row>
    <row r="407" spans="1:10">
      <c r="A407" s="8" t="s">
        <v>163</v>
      </c>
      <c r="B407" s="8" t="s">
        <v>164</v>
      </c>
      <c r="C407" s="8" t="s">
        <v>208</v>
      </c>
      <c r="D407" s="8">
        <v>509301</v>
      </c>
      <c r="E407" s="8" t="b">
        <v>0</v>
      </c>
      <c r="F407" s="8" t="b">
        <v>0</v>
      </c>
      <c r="G407" s="8">
        <v>0</v>
      </c>
      <c r="H407" s="8">
        <v>544952.73</v>
      </c>
      <c r="I407" s="8">
        <v>-35651.730000000003</v>
      </c>
      <c r="J407" s="8" t="b">
        <v>0</v>
      </c>
    </row>
    <row r="408" spans="1:10">
      <c r="A408" s="8" t="s">
        <v>51</v>
      </c>
      <c r="B408" s="8" t="s">
        <v>52</v>
      </c>
      <c r="C408" s="8" t="s">
        <v>209</v>
      </c>
      <c r="D408" s="8">
        <v>53821.22</v>
      </c>
      <c r="E408" s="8" t="b">
        <v>0</v>
      </c>
      <c r="F408" s="8" t="b">
        <v>0</v>
      </c>
      <c r="G408" s="8">
        <v>8452.3799999999992</v>
      </c>
      <c r="H408" s="8">
        <v>40802.300000000003</v>
      </c>
      <c r="I408" s="8">
        <v>13018.92</v>
      </c>
      <c r="J408" s="8" t="b">
        <v>0</v>
      </c>
    </row>
    <row r="409" spans="1:10">
      <c r="A409" s="8" t="s">
        <v>51</v>
      </c>
      <c r="B409" s="8" t="s">
        <v>52</v>
      </c>
      <c r="C409" s="8" t="s">
        <v>210</v>
      </c>
      <c r="D409" s="8">
        <v>86219.03</v>
      </c>
      <c r="E409" s="8" t="b">
        <v>0</v>
      </c>
      <c r="F409" s="8" t="b">
        <v>0</v>
      </c>
      <c r="G409" s="8">
        <v>2176.4699999999998</v>
      </c>
      <c r="H409" s="8">
        <v>74979.83</v>
      </c>
      <c r="I409" s="8">
        <v>11239.2</v>
      </c>
      <c r="J409" s="8" t="b">
        <v>0</v>
      </c>
    </row>
    <row r="410" spans="1:10">
      <c r="A410" s="8" t="s">
        <v>135</v>
      </c>
      <c r="B410" s="8" t="s">
        <v>136</v>
      </c>
      <c r="C410" s="8" t="s">
        <v>208</v>
      </c>
      <c r="D410" s="8">
        <v>252303.91</v>
      </c>
      <c r="E410" s="8" t="b">
        <v>0</v>
      </c>
      <c r="F410" s="8" t="b">
        <v>0</v>
      </c>
      <c r="G410" s="8">
        <v>4169.03</v>
      </c>
      <c r="H410" s="8">
        <v>236518.91</v>
      </c>
      <c r="I410" s="8">
        <v>15785</v>
      </c>
      <c r="J410" s="8" t="b">
        <v>0</v>
      </c>
    </row>
    <row r="411" spans="1:10">
      <c r="A411" s="8" t="s">
        <v>57</v>
      </c>
      <c r="B411" s="8" t="s">
        <v>58</v>
      </c>
      <c r="C411" s="8" t="s">
        <v>212</v>
      </c>
      <c r="D411" s="8">
        <v>73737</v>
      </c>
      <c r="E411" s="8" t="b">
        <v>0</v>
      </c>
      <c r="F411" s="8" t="b">
        <v>0</v>
      </c>
      <c r="G411" s="8">
        <v>0</v>
      </c>
      <c r="H411" s="8">
        <v>51547.42</v>
      </c>
      <c r="I411" s="8">
        <v>22189.58</v>
      </c>
      <c r="J411" s="8" t="b">
        <v>0</v>
      </c>
    </row>
    <row r="412" spans="1:10">
      <c r="A412" s="8" t="s">
        <v>117</v>
      </c>
      <c r="B412" s="8" t="s">
        <v>118</v>
      </c>
      <c r="C412" s="8" t="s">
        <v>212</v>
      </c>
      <c r="D412" s="8">
        <v>108258.62</v>
      </c>
      <c r="E412" s="8" t="b">
        <v>0</v>
      </c>
      <c r="F412" s="8" t="b">
        <v>0</v>
      </c>
      <c r="G412" s="8">
        <v>4949.72</v>
      </c>
      <c r="H412" s="8">
        <v>49809.26</v>
      </c>
      <c r="I412" s="8">
        <v>58449.36</v>
      </c>
      <c r="J412" s="8" t="b">
        <v>0</v>
      </c>
    </row>
    <row r="413" spans="1:10">
      <c r="A413" s="8" t="s">
        <v>97</v>
      </c>
      <c r="B413" s="8" t="s">
        <v>98</v>
      </c>
      <c r="C413" s="8" t="s">
        <v>208</v>
      </c>
      <c r="D413" s="8">
        <v>665265.48</v>
      </c>
      <c r="E413" s="8" t="b">
        <v>0</v>
      </c>
      <c r="F413" s="8" t="b">
        <v>0</v>
      </c>
      <c r="G413" s="8">
        <v>40240.400000000001</v>
      </c>
      <c r="H413" s="8">
        <v>688745.63</v>
      </c>
      <c r="I413" s="8">
        <v>-23480.15</v>
      </c>
      <c r="J413" s="8" t="b">
        <v>0</v>
      </c>
    </row>
    <row r="414" spans="1:10">
      <c r="A414" s="8" t="s">
        <v>139</v>
      </c>
      <c r="B414" s="8" t="s">
        <v>140</v>
      </c>
      <c r="C414" s="8" t="s">
        <v>207</v>
      </c>
      <c r="D414" s="8">
        <v>271423.90999999997</v>
      </c>
      <c r="E414" s="8" t="b">
        <v>0</v>
      </c>
      <c r="F414" s="8" t="b">
        <v>0</v>
      </c>
      <c r="G414" s="8">
        <v>60855.1</v>
      </c>
      <c r="H414" s="8">
        <v>227449.49</v>
      </c>
      <c r="I414" s="8">
        <v>43974.42</v>
      </c>
      <c r="J414" s="8" t="b">
        <v>0</v>
      </c>
    </row>
    <row r="415" spans="1:10">
      <c r="A415" s="8" t="s">
        <v>101</v>
      </c>
      <c r="B415" s="8" t="s">
        <v>102</v>
      </c>
      <c r="C415" s="8" t="s">
        <v>207</v>
      </c>
      <c r="D415" s="8">
        <v>242420.46</v>
      </c>
      <c r="E415" s="8" t="b">
        <v>0</v>
      </c>
      <c r="F415" s="8" t="b">
        <v>0</v>
      </c>
      <c r="G415" s="8">
        <v>36711.33</v>
      </c>
      <c r="H415" s="8">
        <v>210077.99</v>
      </c>
      <c r="I415" s="8">
        <v>32342.47</v>
      </c>
      <c r="J415" s="8" t="b">
        <v>0</v>
      </c>
    </row>
    <row r="416" spans="1:10">
      <c r="A416" s="8" t="s">
        <v>79</v>
      </c>
      <c r="B416" s="8" t="s">
        <v>80</v>
      </c>
      <c r="C416" s="8" t="s">
        <v>211</v>
      </c>
      <c r="D416" s="8">
        <v>15930</v>
      </c>
      <c r="E416" s="8" t="b">
        <v>0</v>
      </c>
      <c r="F416" s="8" t="b">
        <v>0</v>
      </c>
      <c r="G416" s="8">
        <v>0</v>
      </c>
      <c r="H416" s="8">
        <v>15883.45</v>
      </c>
      <c r="I416" s="8">
        <v>46.55</v>
      </c>
      <c r="J416" s="8" t="b">
        <v>0</v>
      </c>
    </row>
    <row r="417" spans="1:10">
      <c r="A417" s="8" t="s">
        <v>89</v>
      </c>
      <c r="B417" s="8" t="s">
        <v>90</v>
      </c>
      <c r="C417" s="8" t="s">
        <v>207</v>
      </c>
      <c r="D417" s="8">
        <v>250056</v>
      </c>
      <c r="E417" s="8" t="b">
        <v>0</v>
      </c>
      <c r="F417" s="8" t="b">
        <v>0</v>
      </c>
      <c r="G417" s="8">
        <v>41671.57</v>
      </c>
      <c r="H417" s="8">
        <v>226838.29</v>
      </c>
      <c r="I417" s="8">
        <v>23217.71</v>
      </c>
      <c r="J417" s="8" t="b">
        <v>0</v>
      </c>
    </row>
    <row r="418" spans="1:10">
      <c r="A418" s="8" t="s">
        <v>81</v>
      </c>
      <c r="B418" s="8" t="s">
        <v>82</v>
      </c>
      <c r="C418" s="8" t="s">
        <v>211</v>
      </c>
      <c r="D418" s="8">
        <v>13812</v>
      </c>
      <c r="E418" s="8" t="b">
        <v>0</v>
      </c>
      <c r="F418" s="8" t="b">
        <v>0</v>
      </c>
      <c r="G418" s="8">
        <v>0</v>
      </c>
      <c r="H418" s="8">
        <v>14288.5</v>
      </c>
      <c r="I418" s="8">
        <v>-476.5</v>
      </c>
      <c r="J418" s="8" t="b">
        <v>0</v>
      </c>
    </row>
    <row r="419" spans="1:10">
      <c r="A419" s="8" t="s">
        <v>75</v>
      </c>
      <c r="B419" s="8" t="s">
        <v>76</v>
      </c>
      <c r="C419" s="8" t="s">
        <v>212</v>
      </c>
      <c r="D419" s="8">
        <v>50972</v>
      </c>
      <c r="E419" s="8" t="b">
        <v>0</v>
      </c>
      <c r="F419" s="8" t="b">
        <v>0</v>
      </c>
      <c r="G419" s="8">
        <v>3990.12</v>
      </c>
      <c r="H419" s="8">
        <v>51021.49</v>
      </c>
      <c r="I419" s="8">
        <v>-49.49</v>
      </c>
      <c r="J419" s="8" t="b">
        <v>0</v>
      </c>
    </row>
    <row r="420" spans="1:10">
      <c r="A420" s="8" t="s">
        <v>133</v>
      </c>
      <c r="B420" s="8" t="s">
        <v>134</v>
      </c>
      <c r="C420" s="8" t="s">
        <v>210</v>
      </c>
      <c r="D420" s="8">
        <v>107970.58</v>
      </c>
      <c r="E420" s="8" t="b">
        <v>0</v>
      </c>
      <c r="F420" s="8" t="b">
        <v>0</v>
      </c>
      <c r="G420" s="8">
        <v>23156.09</v>
      </c>
      <c r="H420" s="8">
        <v>83612.039999999994</v>
      </c>
      <c r="I420" s="8">
        <v>24358.54</v>
      </c>
      <c r="J420" s="8" t="b">
        <v>0</v>
      </c>
    </row>
    <row r="421" spans="1:10">
      <c r="A421" s="8" t="s">
        <v>111</v>
      </c>
      <c r="B421" s="8" t="s">
        <v>112</v>
      </c>
      <c r="C421" s="8" t="s">
        <v>212</v>
      </c>
      <c r="D421" s="8">
        <v>27144</v>
      </c>
      <c r="E421" s="8" t="b">
        <v>0</v>
      </c>
      <c r="F421" s="8" t="b">
        <v>0</v>
      </c>
      <c r="G421" s="8">
        <v>3696.49</v>
      </c>
      <c r="H421" s="8">
        <v>24937.15</v>
      </c>
      <c r="I421" s="8">
        <v>2206.85</v>
      </c>
      <c r="J421" s="8" t="b">
        <v>0</v>
      </c>
    </row>
    <row r="422" spans="1:10">
      <c r="A422" s="8" t="s">
        <v>185</v>
      </c>
      <c r="B422" s="8" t="s">
        <v>186</v>
      </c>
      <c r="C422" s="8" t="s">
        <v>212</v>
      </c>
      <c r="D422" s="8">
        <v>81840.639999999999</v>
      </c>
      <c r="E422" s="8" t="b">
        <v>0</v>
      </c>
      <c r="F422" s="8" t="b">
        <v>0</v>
      </c>
      <c r="G422" s="8">
        <v>0</v>
      </c>
      <c r="H422" s="8">
        <v>85389.36</v>
      </c>
      <c r="I422" s="8">
        <v>-3548.72</v>
      </c>
      <c r="J422" s="8" t="b">
        <v>0</v>
      </c>
    </row>
    <row r="423" spans="1:10">
      <c r="A423" s="8" t="s">
        <v>173</v>
      </c>
      <c r="B423" s="8" t="s">
        <v>174</v>
      </c>
      <c r="C423" s="8" t="s">
        <v>208</v>
      </c>
      <c r="D423" s="8">
        <v>221704</v>
      </c>
      <c r="E423" s="8" t="b">
        <v>0</v>
      </c>
      <c r="F423" s="8" t="b">
        <v>0</v>
      </c>
      <c r="G423" s="8">
        <v>0</v>
      </c>
      <c r="H423" s="8">
        <v>225221.85</v>
      </c>
      <c r="I423" s="8">
        <v>-3517.85</v>
      </c>
      <c r="J423" s="8" t="b">
        <v>0</v>
      </c>
    </row>
    <row r="424" spans="1:10">
      <c r="A424" s="8" t="s">
        <v>97</v>
      </c>
      <c r="B424" s="8" t="s">
        <v>98</v>
      </c>
      <c r="C424" s="8" t="s">
        <v>211</v>
      </c>
      <c r="D424" s="8">
        <v>43310.04</v>
      </c>
      <c r="E424" s="8" t="b">
        <v>0</v>
      </c>
      <c r="F424" s="8" t="b">
        <v>0</v>
      </c>
      <c r="G424" s="8">
        <v>3365.48</v>
      </c>
      <c r="H424" s="8">
        <v>44979.64</v>
      </c>
      <c r="I424" s="8">
        <v>-1669.6</v>
      </c>
      <c r="J424" s="8" t="b">
        <v>0</v>
      </c>
    </row>
    <row r="425" spans="1:10">
      <c r="A425" s="8" t="s">
        <v>139</v>
      </c>
      <c r="B425" s="8" t="s">
        <v>140</v>
      </c>
      <c r="C425" s="8" t="s">
        <v>212</v>
      </c>
      <c r="D425" s="8">
        <v>41794.81</v>
      </c>
      <c r="E425" s="8" t="b">
        <v>0</v>
      </c>
      <c r="F425" s="8" t="b">
        <v>0</v>
      </c>
      <c r="G425" s="8">
        <v>0</v>
      </c>
      <c r="H425" s="8">
        <v>45901.82</v>
      </c>
      <c r="I425" s="8">
        <v>-4107.01</v>
      </c>
      <c r="J425" s="8" t="b">
        <v>0</v>
      </c>
    </row>
    <row r="426" spans="1:10">
      <c r="A426" s="8" t="s">
        <v>29</v>
      </c>
      <c r="B426" s="8" t="s">
        <v>30</v>
      </c>
      <c r="C426" s="8" t="s">
        <v>208</v>
      </c>
      <c r="D426" s="8">
        <v>820490.49</v>
      </c>
      <c r="E426" s="8" t="b">
        <v>0</v>
      </c>
      <c r="F426" s="8" t="b">
        <v>0</v>
      </c>
      <c r="G426" s="8">
        <v>55238.98</v>
      </c>
      <c r="H426" s="8">
        <v>747150.17</v>
      </c>
      <c r="I426" s="8">
        <v>73340.320000000007</v>
      </c>
      <c r="J426" s="8" t="b">
        <v>0</v>
      </c>
    </row>
    <row r="427" spans="1:10">
      <c r="A427" s="8" t="s">
        <v>103</v>
      </c>
      <c r="B427" s="8" t="s">
        <v>104</v>
      </c>
      <c r="C427" s="8" t="s">
        <v>209</v>
      </c>
      <c r="D427" s="8">
        <v>9318.57</v>
      </c>
      <c r="E427" s="8" t="b">
        <v>0</v>
      </c>
      <c r="F427" s="8" t="b">
        <v>0</v>
      </c>
      <c r="G427" s="8">
        <v>515.29999999999995</v>
      </c>
      <c r="H427" s="8">
        <v>9131.9500000000007</v>
      </c>
      <c r="I427" s="8">
        <v>186.62</v>
      </c>
      <c r="J427" s="8" t="b">
        <v>0</v>
      </c>
    </row>
    <row r="428" spans="1:10">
      <c r="A428" s="8" t="s">
        <v>103</v>
      </c>
      <c r="B428" s="8" t="s">
        <v>104</v>
      </c>
      <c r="C428" s="8" t="s">
        <v>210</v>
      </c>
      <c r="D428" s="8">
        <v>20748.28</v>
      </c>
      <c r="E428" s="8" t="b">
        <v>0</v>
      </c>
      <c r="F428" s="8" t="b">
        <v>0</v>
      </c>
      <c r="G428" s="8">
        <v>2247.1999999999998</v>
      </c>
      <c r="H428" s="8">
        <v>18304.560000000001</v>
      </c>
      <c r="I428" s="8">
        <v>2443.7199999999998</v>
      </c>
      <c r="J428" s="8" t="b">
        <v>0</v>
      </c>
    </row>
    <row r="429" spans="1:10">
      <c r="A429" s="8" t="s">
        <v>73</v>
      </c>
      <c r="B429" s="8" t="s">
        <v>74</v>
      </c>
      <c r="C429" s="8" t="s">
        <v>208</v>
      </c>
      <c r="D429" s="8">
        <v>264269.09999999998</v>
      </c>
      <c r="E429" s="8" t="b">
        <v>0</v>
      </c>
      <c r="F429" s="8" t="b">
        <v>0</v>
      </c>
      <c r="G429" s="8">
        <v>38794.69</v>
      </c>
      <c r="H429" s="8">
        <v>232338.22</v>
      </c>
      <c r="I429" s="8">
        <v>31930.880000000001</v>
      </c>
      <c r="J429" s="8" t="b">
        <v>0</v>
      </c>
    </row>
    <row r="430" spans="1:10">
      <c r="A430" s="8" t="s">
        <v>79</v>
      </c>
      <c r="B430" s="8" t="s">
        <v>80</v>
      </c>
      <c r="C430" s="8" t="s">
        <v>208</v>
      </c>
      <c r="D430" s="8">
        <v>164610</v>
      </c>
      <c r="E430" s="8" t="b">
        <v>0</v>
      </c>
      <c r="F430" s="8" t="b">
        <v>0</v>
      </c>
      <c r="G430" s="8">
        <v>23517.41</v>
      </c>
      <c r="H430" s="8">
        <v>157977.99</v>
      </c>
      <c r="I430" s="8">
        <v>6632.01</v>
      </c>
      <c r="J430" s="8" t="b">
        <v>0</v>
      </c>
    </row>
    <row r="431" spans="1:10">
      <c r="A431" s="8" t="s">
        <v>27</v>
      </c>
      <c r="B431" s="8" t="s">
        <v>28</v>
      </c>
      <c r="C431" s="8" t="s">
        <v>208</v>
      </c>
      <c r="D431" s="8">
        <v>238140</v>
      </c>
      <c r="E431" s="8" t="b">
        <v>0</v>
      </c>
      <c r="F431" s="8" t="b">
        <v>0</v>
      </c>
      <c r="G431" s="8">
        <v>0</v>
      </c>
      <c r="H431" s="8">
        <v>232077.93</v>
      </c>
      <c r="I431" s="8">
        <v>6062.07</v>
      </c>
      <c r="J431" s="8" t="b">
        <v>0</v>
      </c>
    </row>
    <row r="432" spans="1:10">
      <c r="A432" s="8" t="s">
        <v>89</v>
      </c>
      <c r="B432" s="8" t="s">
        <v>90</v>
      </c>
      <c r="C432" s="8" t="s">
        <v>212</v>
      </c>
      <c r="D432" s="8">
        <v>41676</v>
      </c>
      <c r="E432" s="8" t="b">
        <v>0</v>
      </c>
      <c r="F432" s="8" t="b">
        <v>0</v>
      </c>
      <c r="G432" s="8">
        <v>746.47</v>
      </c>
      <c r="H432" s="8">
        <v>41166.17</v>
      </c>
      <c r="I432" s="8">
        <v>509.83</v>
      </c>
      <c r="J432" s="8" t="b">
        <v>0</v>
      </c>
    </row>
    <row r="433" spans="1:10">
      <c r="A433" s="8" t="s">
        <v>119</v>
      </c>
      <c r="B433" s="8" t="s">
        <v>120</v>
      </c>
      <c r="C433" s="8" t="s">
        <v>208</v>
      </c>
      <c r="D433" s="8">
        <v>462561.19</v>
      </c>
      <c r="E433" s="8" t="b">
        <v>0</v>
      </c>
      <c r="F433" s="8" t="b">
        <v>0</v>
      </c>
      <c r="G433" s="8">
        <v>41864.01</v>
      </c>
      <c r="H433" s="8">
        <v>437965.7</v>
      </c>
      <c r="I433" s="8">
        <v>24595.49</v>
      </c>
      <c r="J433" s="8" t="b">
        <v>0</v>
      </c>
    </row>
    <row r="434" spans="1:10">
      <c r="A434" s="8" t="s">
        <v>185</v>
      </c>
      <c r="B434" s="8" t="s">
        <v>186</v>
      </c>
      <c r="C434" s="8" t="s">
        <v>207</v>
      </c>
      <c r="D434" s="8">
        <v>503890.31</v>
      </c>
      <c r="E434" s="8" t="b">
        <v>0</v>
      </c>
      <c r="F434" s="8" t="b">
        <v>0</v>
      </c>
      <c r="G434" s="8">
        <v>28596.83</v>
      </c>
      <c r="H434" s="8">
        <v>552811.92000000004</v>
      </c>
      <c r="I434" s="8">
        <v>-48921.61</v>
      </c>
      <c r="J434" s="8" t="b">
        <v>0</v>
      </c>
    </row>
    <row r="435" spans="1:10">
      <c r="A435" s="8" t="s">
        <v>105</v>
      </c>
      <c r="B435" s="8" t="s">
        <v>106</v>
      </c>
      <c r="C435" s="8" t="s">
        <v>209</v>
      </c>
      <c r="D435" s="8">
        <v>46094.36</v>
      </c>
      <c r="E435" s="8" t="b">
        <v>0</v>
      </c>
      <c r="F435" s="8" t="b">
        <v>0</v>
      </c>
      <c r="G435" s="8">
        <v>0</v>
      </c>
      <c r="H435" s="8">
        <v>46541.32</v>
      </c>
      <c r="I435" s="8">
        <v>-446.96</v>
      </c>
      <c r="J435" s="8" t="b">
        <v>0</v>
      </c>
    </row>
    <row r="436" spans="1:10">
      <c r="A436" s="8" t="s">
        <v>105</v>
      </c>
      <c r="B436" s="8" t="s">
        <v>106</v>
      </c>
      <c r="C436" s="8" t="s">
        <v>210</v>
      </c>
      <c r="D436" s="8">
        <v>73786.27</v>
      </c>
      <c r="E436" s="8" t="b">
        <v>0</v>
      </c>
      <c r="F436" s="8" t="b">
        <v>0</v>
      </c>
      <c r="G436" s="8">
        <v>0</v>
      </c>
      <c r="H436" s="8">
        <v>79383.990000000005</v>
      </c>
      <c r="I436" s="8">
        <v>-5597.72</v>
      </c>
      <c r="J436" s="8" t="b">
        <v>0</v>
      </c>
    </row>
    <row r="437" spans="1:10">
      <c r="A437" s="8" t="s">
        <v>61</v>
      </c>
      <c r="B437" s="8" t="s">
        <v>62</v>
      </c>
      <c r="C437" s="8" t="s">
        <v>208</v>
      </c>
      <c r="D437" s="8">
        <v>323548.42</v>
      </c>
      <c r="E437" s="8" t="b">
        <v>0</v>
      </c>
      <c r="F437" s="8" t="b">
        <v>0</v>
      </c>
      <c r="G437" s="8">
        <v>31859.71</v>
      </c>
      <c r="H437" s="8">
        <v>325202.09999999998</v>
      </c>
      <c r="I437" s="8">
        <v>-1653.68</v>
      </c>
      <c r="J437" s="8" t="b">
        <v>0</v>
      </c>
    </row>
    <row r="438" spans="1:10">
      <c r="A438" s="8" t="s">
        <v>123</v>
      </c>
      <c r="B438" s="8" t="s">
        <v>124</v>
      </c>
      <c r="C438" s="8" t="s">
        <v>209</v>
      </c>
      <c r="D438" s="8">
        <v>17128</v>
      </c>
      <c r="E438" s="8" t="b">
        <v>0</v>
      </c>
      <c r="F438" s="8" t="b">
        <v>0</v>
      </c>
      <c r="G438" s="8">
        <v>0</v>
      </c>
      <c r="H438" s="8">
        <v>17060.41</v>
      </c>
      <c r="I438" s="8">
        <v>67.59</v>
      </c>
      <c r="J438" s="8" t="b">
        <v>0</v>
      </c>
    </row>
    <row r="439" spans="1:10">
      <c r="A439" s="8" t="s">
        <v>123</v>
      </c>
      <c r="B439" s="8" t="s">
        <v>124</v>
      </c>
      <c r="C439" s="8" t="s">
        <v>210</v>
      </c>
      <c r="D439" s="8">
        <v>38538</v>
      </c>
      <c r="E439" s="8" t="b">
        <v>0</v>
      </c>
      <c r="F439" s="8" t="b">
        <v>0</v>
      </c>
      <c r="G439" s="8">
        <v>0</v>
      </c>
      <c r="H439" s="8">
        <v>40102.79</v>
      </c>
      <c r="I439" s="8">
        <v>-1564.79</v>
      </c>
      <c r="J439" s="8" t="b">
        <v>0</v>
      </c>
    </row>
    <row r="440" spans="1:10">
      <c r="A440" s="8" t="s">
        <v>75</v>
      </c>
      <c r="B440" s="8" t="s">
        <v>76</v>
      </c>
      <c r="C440" s="8" t="s">
        <v>207</v>
      </c>
      <c r="D440" s="8">
        <v>305832</v>
      </c>
      <c r="E440" s="8" t="b">
        <v>0</v>
      </c>
      <c r="F440" s="8" t="b">
        <v>0</v>
      </c>
      <c r="G440" s="8">
        <v>0</v>
      </c>
      <c r="H440" s="8">
        <v>343817.66</v>
      </c>
      <c r="I440" s="8">
        <v>-37985.660000000003</v>
      </c>
      <c r="J440" s="8" t="b">
        <v>0</v>
      </c>
    </row>
    <row r="441" spans="1:10">
      <c r="A441" s="8" t="s">
        <v>109</v>
      </c>
      <c r="B441" s="8" t="s">
        <v>110</v>
      </c>
      <c r="C441" s="8" t="s">
        <v>210</v>
      </c>
      <c r="D441" s="8">
        <v>31842.560000000001</v>
      </c>
      <c r="E441" s="8" t="b">
        <v>0</v>
      </c>
      <c r="F441" s="8" t="b">
        <v>0</v>
      </c>
      <c r="G441" s="8">
        <v>6031.41</v>
      </c>
      <c r="H441" s="8">
        <v>23806.79</v>
      </c>
      <c r="I441" s="8">
        <v>8035.77</v>
      </c>
      <c r="J441" s="8" t="b">
        <v>0</v>
      </c>
    </row>
    <row r="442" spans="1:10">
      <c r="A442" s="8" t="s">
        <v>173</v>
      </c>
      <c r="B442" s="8" t="s">
        <v>174</v>
      </c>
      <c r="C442" s="8" t="s">
        <v>211</v>
      </c>
      <c r="D442" s="8">
        <v>23754</v>
      </c>
      <c r="E442" s="8" t="b">
        <v>0</v>
      </c>
      <c r="F442" s="8" t="b">
        <v>0</v>
      </c>
      <c r="G442" s="8">
        <v>1212.19</v>
      </c>
      <c r="H442" s="8">
        <v>22085.57</v>
      </c>
      <c r="I442" s="8">
        <v>1668.43</v>
      </c>
      <c r="J442" s="8" t="b">
        <v>0</v>
      </c>
    </row>
    <row r="443" spans="1:10">
      <c r="A443" s="8" t="s">
        <v>201</v>
      </c>
      <c r="B443" s="8" t="s">
        <v>202</v>
      </c>
      <c r="C443" s="8" t="s">
        <v>212</v>
      </c>
      <c r="D443" s="8">
        <v>138478.81</v>
      </c>
      <c r="E443" s="8" t="b">
        <v>0</v>
      </c>
      <c r="F443" s="8" t="b">
        <v>0</v>
      </c>
      <c r="G443" s="8">
        <v>8545.1299999999992</v>
      </c>
      <c r="H443" s="8">
        <v>154137.57</v>
      </c>
      <c r="I443" s="8">
        <v>-15658.76</v>
      </c>
      <c r="J443" s="8" t="b">
        <v>0</v>
      </c>
    </row>
    <row r="444" spans="1:10">
      <c r="A444" s="8" t="s">
        <v>147</v>
      </c>
      <c r="B444" s="8" t="s">
        <v>148</v>
      </c>
      <c r="C444" s="8" t="s">
        <v>209</v>
      </c>
      <c r="D444" s="8">
        <v>34658.32</v>
      </c>
      <c r="E444" s="8" t="b">
        <v>0</v>
      </c>
      <c r="F444" s="8" t="b">
        <v>0</v>
      </c>
      <c r="G444" s="8">
        <v>820.52</v>
      </c>
      <c r="H444" s="8">
        <v>35943.21</v>
      </c>
      <c r="I444" s="8">
        <v>-1284.8900000000001</v>
      </c>
      <c r="J444" s="8" t="b">
        <v>0</v>
      </c>
    </row>
    <row r="445" spans="1:10">
      <c r="A445" s="8" t="s">
        <v>161</v>
      </c>
      <c r="B445" s="8" t="s">
        <v>162</v>
      </c>
      <c r="C445" s="8" t="s">
        <v>211</v>
      </c>
      <c r="D445" s="8">
        <v>20855.95</v>
      </c>
      <c r="E445" s="8" t="b">
        <v>0</v>
      </c>
      <c r="F445" s="8" t="b">
        <v>0</v>
      </c>
      <c r="G445" s="8">
        <v>2301.0300000000002</v>
      </c>
      <c r="H445" s="8">
        <v>18142.150000000001</v>
      </c>
      <c r="I445" s="8">
        <v>2713.8</v>
      </c>
      <c r="J445" s="8" t="b">
        <v>0</v>
      </c>
    </row>
    <row r="446" spans="1:10">
      <c r="A446" s="8" t="s">
        <v>135</v>
      </c>
      <c r="B446" s="8" t="s">
        <v>136</v>
      </c>
      <c r="C446" s="8" t="s">
        <v>211</v>
      </c>
      <c r="D446" s="8">
        <v>24326.560000000001</v>
      </c>
      <c r="E446" s="8" t="b">
        <v>0</v>
      </c>
      <c r="F446" s="8" t="b">
        <v>0</v>
      </c>
      <c r="G446" s="8">
        <v>1831.67</v>
      </c>
      <c r="H446" s="8">
        <v>19099.169999999998</v>
      </c>
      <c r="I446" s="8">
        <v>5227.3900000000003</v>
      </c>
      <c r="J446" s="8" t="b">
        <v>0</v>
      </c>
    </row>
    <row r="447" spans="1:10">
      <c r="A447" s="8" t="s">
        <v>117</v>
      </c>
      <c r="B447" s="8" t="s">
        <v>118</v>
      </c>
      <c r="C447" s="8" t="s">
        <v>207</v>
      </c>
      <c r="D447" s="8">
        <v>533977.98</v>
      </c>
      <c r="E447" s="8" t="b">
        <v>0</v>
      </c>
      <c r="F447" s="8" t="b">
        <v>0</v>
      </c>
      <c r="G447" s="8">
        <v>0</v>
      </c>
      <c r="H447" s="8">
        <v>277083.34999999998</v>
      </c>
      <c r="I447" s="8">
        <v>256894.63</v>
      </c>
      <c r="J447" s="8" t="b">
        <v>0</v>
      </c>
    </row>
    <row r="448" spans="1:10">
      <c r="A448" s="8" t="s">
        <v>25</v>
      </c>
      <c r="B448" s="8" t="s">
        <v>26</v>
      </c>
      <c r="C448" s="8" t="s">
        <v>208</v>
      </c>
      <c r="D448" s="8">
        <v>141399.6</v>
      </c>
      <c r="E448" s="8" t="b">
        <v>0</v>
      </c>
      <c r="F448" s="8" t="b">
        <v>0</v>
      </c>
      <c r="G448" s="8">
        <v>14614.96</v>
      </c>
      <c r="H448" s="8">
        <v>139662.72</v>
      </c>
      <c r="I448" s="8">
        <v>1736.88</v>
      </c>
      <c r="J448" s="8" t="b">
        <v>0</v>
      </c>
    </row>
    <row r="449" spans="1:10">
      <c r="A449" s="8" t="s">
        <v>101</v>
      </c>
      <c r="B449" s="8" t="s">
        <v>102</v>
      </c>
      <c r="C449" s="8" t="s">
        <v>212</v>
      </c>
      <c r="D449" s="8">
        <v>21900.28</v>
      </c>
      <c r="E449" s="8" t="b">
        <v>0</v>
      </c>
      <c r="F449" s="8" t="b">
        <v>0</v>
      </c>
      <c r="G449" s="8">
        <v>461.8</v>
      </c>
      <c r="H449" s="8">
        <v>21513.040000000001</v>
      </c>
      <c r="I449" s="8">
        <v>387.24</v>
      </c>
      <c r="J449" s="8" t="b">
        <v>0</v>
      </c>
    </row>
    <row r="450" spans="1:10">
      <c r="A450" s="8" t="s">
        <v>197</v>
      </c>
      <c r="B450" s="8" t="s">
        <v>198</v>
      </c>
      <c r="C450" s="8" t="s">
        <v>212</v>
      </c>
      <c r="D450" s="8">
        <v>59570.6</v>
      </c>
      <c r="E450" s="8" t="b">
        <v>0</v>
      </c>
      <c r="F450" s="8" t="b">
        <v>0</v>
      </c>
      <c r="G450" s="8">
        <v>10074.370000000001</v>
      </c>
      <c r="H450" s="8">
        <v>52652.49</v>
      </c>
      <c r="I450" s="8">
        <v>6918.11</v>
      </c>
      <c r="J450" s="8" t="b">
        <v>0</v>
      </c>
    </row>
    <row r="451" spans="1:10">
      <c r="A451" s="8" t="s">
        <v>81</v>
      </c>
      <c r="B451" s="8" t="s">
        <v>82</v>
      </c>
      <c r="C451" s="8" t="s">
        <v>208</v>
      </c>
      <c r="D451" s="8">
        <v>128912</v>
      </c>
      <c r="E451" s="8" t="b">
        <v>0</v>
      </c>
      <c r="F451" s="8" t="b">
        <v>0</v>
      </c>
      <c r="G451" s="8">
        <v>8296.68</v>
      </c>
      <c r="H451" s="8">
        <v>128464.46</v>
      </c>
      <c r="I451" s="8">
        <v>447.54</v>
      </c>
      <c r="J451" s="8" t="b">
        <v>0</v>
      </c>
    </row>
    <row r="452" spans="1:10">
      <c r="A452" s="8" t="s">
        <v>109</v>
      </c>
      <c r="B452" s="8" t="s">
        <v>110</v>
      </c>
      <c r="C452" s="8" t="s">
        <v>209</v>
      </c>
      <c r="D452" s="8">
        <v>14243.34</v>
      </c>
      <c r="E452" s="8" t="b">
        <v>0</v>
      </c>
      <c r="F452" s="8" t="b">
        <v>0</v>
      </c>
      <c r="G452" s="8">
        <v>878.48</v>
      </c>
      <c r="H452" s="8">
        <v>12785.66</v>
      </c>
      <c r="I452" s="8">
        <v>1457.68</v>
      </c>
      <c r="J452" s="8" t="b">
        <v>0</v>
      </c>
    </row>
    <row r="453" spans="1:10">
      <c r="A453" s="8" t="s">
        <v>177</v>
      </c>
      <c r="B453" s="8" t="s">
        <v>178</v>
      </c>
      <c r="C453" s="8" t="s">
        <v>210</v>
      </c>
      <c r="D453" s="8">
        <v>96862.42</v>
      </c>
      <c r="E453" s="8" t="b">
        <v>0</v>
      </c>
      <c r="F453" s="8" t="b">
        <v>0</v>
      </c>
      <c r="G453" s="8">
        <v>2610.8000000000002</v>
      </c>
      <c r="H453" s="8">
        <v>93392.09</v>
      </c>
      <c r="I453" s="8">
        <v>3470.33</v>
      </c>
      <c r="J453" s="8" t="b">
        <v>0</v>
      </c>
    </row>
    <row r="454" spans="1:10">
      <c r="A454" s="8" t="s">
        <v>111</v>
      </c>
      <c r="B454" s="8" t="s">
        <v>112</v>
      </c>
      <c r="C454" s="8" t="s">
        <v>207</v>
      </c>
      <c r="D454" s="8">
        <v>162864</v>
      </c>
      <c r="E454" s="8" t="b">
        <v>0</v>
      </c>
      <c r="F454" s="8" t="b">
        <v>0</v>
      </c>
      <c r="G454" s="8">
        <v>7911.78</v>
      </c>
      <c r="H454" s="8">
        <v>162401.98000000001</v>
      </c>
      <c r="I454" s="8">
        <v>462.02</v>
      </c>
      <c r="J454" s="8" t="b">
        <v>0</v>
      </c>
    </row>
    <row r="455" spans="1:10">
      <c r="A455" s="8" t="s">
        <v>145</v>
      </c>
      <c r="B455" s="8" t="s">
        <v>146</v>
      </c>
      <c r="C455" s="8" t="s">
        <v>211</v>
      </c>
      <c r="D455" s="8">
        <v>17629.25</v>
      </c>
      <c r="E455" s="8" t="b">
        <v>0</v>
      </c>
      <c r="F455" s="8" t="b">
        <v>0</v>
      </c>
      <c r="G455" s="8">
        <v>1002.59</v>
      </c>
      <c r="H455" s="8">
        <v>15807.95</v>
      </c>
      <c r="I455" s="8">
        <v>1821.3</v>
      </c>
      <c r="J455" s="8" t="b">
        <v>0</v>
      </c>
    </row>
    <row r="456" spans="1:10">
      <c r="A456" s="8" t="s">
        <v>147</v>
      </c>
      <c r="B456" s="8" t="s">
        <v>148</v>
      </c>
      <c r="C456" s="8" t="s">
        <v>210</v>
      </c>
      <c r="D456" s="8">
        <v>55392.54</v>
      </c>
      <c r="E456" s="8" t="b">
        <v>0</v>
      </c>
      <c r="F456" s="8" t="b">
        <v>0</v>
      </c>
      <c r="G456" s="8">
        <v>3470.37</v>
      </c>
      <c r="H456" s="8">
        <v>55820.47</v>
      </c>
      <c r="I456" s="8">
        <v>-427.93</v>
      </c>
      <c r="J456" s="8" t="b">
        <v>0</v>
      </c>
    </row>
    <row r="457" spans="1:10">
      <c r="A457" s="8" t="s">
        <v>163</v>
      </c>
      <c r="B457" s="8" t="s">
        <v>164</v>
      </c>
      <c r="C457" s="8" t="s">
        <v>211</v>
      </c>
      <c r="D457" s="8">
        <v>56589</v>
      </c>
      <c r="E457" s="8" t="b">
        <v>0</v>
      </c>
      <c r="F457" s="8" t="b">
        <v>0</v>
      </c>
      <c r="G457" s="8">
        <v>367.97</v>
      </c>
      <c r="H457" s="8">
        <v>64404.93</v>
      </c>
      <c r="I457" s="8">
        <v>-7815.93</v>
      </c>
      <c r="J457" s="8" t="b">
        <v>0</v>
      </c>
    </row>
    <row r="458" spans="1:10">
      <c r="A458" s="8" t="s">
        <v>57</v>
      </c>
      <c r="B458" s="8" t="s">
        <v>58</v>
      </c>
      <c r="C458" s="8" t="s">
        <v>207</v>
      </c>
      <c r="D458" s="8">
        <v>712791</v>
      </c>
      <c r="E458" s="8" t="b">
        <v>0</v>
      </c>
      <c r="F458" s="8" t="b">
        <v>0</v>
      </c>
      <c r="G458" s="8">
        <v>48861.7</v>
      </c>
      <c r="H458" s="8">
        <v>517322.37</v>
      </c>
      <c r="I458" s="8">
        <v>195468.63</v>
      </c>
      <c r="J458" s="8" t="b">
        <v>0</v>
      </c>
    </row>
    <row r="459" spans="1:10">
      <c r="A459" s="8" t="s">
        <v>177</v>
      </c>
      <c r="B459" s="8" t="s">
        <v>178</v>
      </c>
      <c r="C459" s="8" t="s">
        <v>209</v>
      </c>
      <c r="D459" s="8">
        <v>68913.45</v>
      </c>
      <c r="E459" s="8" t="b">
        <v>0</v>
      </c>
      <c r="F459" s="8" t="b">
        <v>0</v>
      </c>
      <c r="G459" s="8">
        <v>5038.63</v>
      </c>
      <c r="H459" s="8">
        <v>63984.82</v>
      </c>
      <c r="I459" s="8">
        <v>4928.63</v>
      </c>
      <c r="J459" s="8" t="b">
        <v>0</v>
      </c>
    </row>
    <row r="460" spans="1:10">
      <c r="A460" s="8" t="s">
        <v>167</v>
      </c>
      <c r="B460" s="8" t="s">
        <v>168</v>
      </c>
      <c r="C460" s="8" t="s">
        <v>209</v>
      </c>
      <c r="D460" s="8">
        <v>97204.03</v>
      </c>
      <c r="E460" s="8" t="b">
        <v>0</v>
      </c>
      <c r="F460" s="8" t="b">
        <v>0</v>
      </c>
      <c r="G460" s="8">
        <v>2360.0500000000002</v>
      </c>
      <c r="H460" s="8">
        <v>98663.05</v>
      </c>
      <c r="I460" s="8">
        <v>-1459.02</v>
      </c>
      <c r="J460" s="8" t="b">
        <v>0</v>
      </c>
    </row>
    <row r="461" spans="1:10">
      <c r="A461" s="8" t="s">
        <v>167</v>
      </c>
      <c r="B461" s="8" t="s">
        <v>168</v>
      </c>
      <c r="C461" s="8" t="s">
        <v>210</v>
      </c>
      <c r="D461" s="8">
        <v>169660.71</v>
      </c>
      <c r="E461" s="8" t="b">
        <v>0</v>
      </c>
      <c r="F461" s="8" t="b">
        <v>0</v>
      </c>
      <c r="G461" s="8">
        <v>31821.09</v>
      </c>
      <c r="H461" s="8">
        <v>160850.26999999999</v>
      </c>
      <c r="I461" s="8">
        <v>8810.44</v>
      </c>
      <c r="J461" s="8" t="b">
        <v>0</v>
      </c>
    </row>
    <row r="462" spans="1:10">
      <c r="A462" s="8" t="s">
        <v>25</v>
      </c>
      <c r="B462" s="8" t="s">
        <v>26</v>
      </c>
      <c r="C462" s="8" t="s">
        <v>207</v>
      </c>
      <c r="D462" s="8">
        <v>111232.41</v>
      </c>
      <c r="E462" s="8" t="b">
        <v>0</v>
      </c>
      <c r="F462" s="8" t="b">
        <v>0</v>
      </c>
      <c r="G462" s="8">
        <v>10636.72</v>
      </c>
      <c r="H462" s="8">
        <v>114441.48</v>
      </c>
      <c r="I462" s="8">
        <v>-3209.07</v>
      </c>
      <c r="J462" s="8" t="b">
        <v>0</v>
      </c>
    </row>
    <row r="463" spans="1:10">
      <c r="A463" s="8" t="s">
        <v>101</v>
      </c>
      <c r="B463" s="8" t="s">
        <v>102</v>
      </c>
      <c r="C463" s="8" t="s">
        <v>211</v>
      </c>
      <c r="D463" s="8">
        <v>21900.27</v>
      </c>
      <c r="E463" s="8" t="b">
        <v>0</v>
      </c>
      <c r="F463" s="8" t="b">
        <v>0</v>
      </c>
      <c r="G463" s="8">
        <v>4666.45</v>
      </c>
      <c r="H463" s="8">
        <v>16144.45</v>
      </c>
      <c r="I463" s="8">
        <v>5755.82</v>
      </c>
      <c r="J463" s="8" t="b">
        <v>0</v>
      </c>
    </row>
    <row r="464" spans="1:10">
      <c r="A464" s="8" t="s">
        <v>197</v>
      </c>
      <c r="B464" s="8" t="s">
        <v>198</v>
      </c>
      <c r="C464" s="8" t="s">
        <v>211</v>
      </c>
      <c r="D464" s="8">
        <v>59570.59</v>
      </c>
      <c r="E464" s="8" t="b">
        <v>0</v>
      </c>
      <c r="F464" s="8" t="b">
        <v>0</v>
      </c>
      <c r="G464" s="8">
        <v>10966.57</v>
      </c>
      <c r="H464" s="8">
        <v>46538.42</v>
      </c>
      <c r="I464" s="8">
        <v>13032.17</v>
      </c>
      <c r="J464" s="8" t="b">
        <v>0</v>
      </c>
    </row>
    <row r="465" spans="1:10">
      <c r="A465" s="8" t="s">
        <v>29</v>
      </c>
      <c r="B465" s="8" t="s">
        <v>30</v>
      </c>
      <c r="C465" s="8" t="s">
        <v>207</v>
      </c>
      <c r="D465" s="8">
        <v>886036.18</v>
      </c>
      <c r="E465" s="8" t="b">
        <v>0</v>
      </c>
      <c r="F465" s="8" t="b">
        <v>0</v>
      </c>
      <c r="G465" s="8">
        <v>159179.62</v>
      </c>
      <c r="H465" s="8">
        <v>770936.61</v>
      </c>
      <c r="I465" s="8">
        <v>115099.57</v>
      </c>
      <c r="J465" s="8" t="b">
        <v>0</v>
      </c>
    </row>
    <row r="466" spans="1:10">
      <c r="A466" s="8" t="s">
        <v>79</v>
      </c>
      <c r="B466" s="8" t="s">
        <v>80</v>
      </c>
      <c r="C466" s="8" t="s">
        <v>207</v>
      </c>
      <c r="D466" s="8">
        <v>127440</v>
      </c>
      <c r="E466" s="8" t="b">
        <v>0</v>
      </c>
      <c r="F466" s="8" t="b">
        <v>0</v>
      </c>
      <c r="G466" s="8">
        <v>11193.79</v>
      </c>
      <c r="H466" s="8">
        <v>127665.76</v>
      </c>
      <c r="I466" s="8">
        <v>-225.76</v>
      </c>
      <c r="J466" s="8" t="b">
        <v>0</v>
      </c>
    </row>
    <row r="467" spans="1:10">
      <c r="A467" s="8" t="s">
        <v>27</v>
      </c>
      <c r="B467" s="8" t="s">
        <v>28</v>
      </c>
      <c r="C467" s="8" t="s">
        <v>207</v>
      </c>
      <c r="D467" s="8">
        <v>212625</v>
      </c>
      <c r="E467" s="8" t="b">
        <v>0</v>
      </c>
      <c r="F467" s="8" t="b">
        <v>0</v>
      </c>
      <c r="G467" s="8">
        <v>0</v>
      </c>
      <c r="H467" s="8">
        <v>223127.49</v>
      </c>
      <c r="I467" s="8">
        <v>-10502.49</v>
      </c>
      <c r="J467" s="8" t="b">
        <v>0</v>
      </c>
    </row>
    <row r="468" spans="1:10">
      <c r="A468" s="8" t="s">
        <v>89</v>
      </c>
      <c r="B468" s="8" t="s">
        <v>90</v>
      </c>
      <c r="C468" s="8" t="s">
        <v>211</v>
      </c>
      <c r="D468" s="8">
        <v>31257</v>
      </c>
      <c r="E468" s="8" t="b">
        <v>0</v>
      </c>
      <c r="F468" s="8" t="b">
        <v>0</v>
      </c>
      <c r="G468" s="8">
        <v>718.89</v>
      </c>
      <c r="H468" s="8">
        <v>29174.94</v>
      </c>
      <c r="I468" s="8">
        <v>2082.06</v>
      </c>
      <c r="J468" s="8" t="b">
        <v>0</v>
      </c>
    </row>
    <row r="469" spans="1:10">
      <c r="A469" s="8" t="s">
        <v>119</v>
      </c>
      <c r="B469" s="8" t="s">
        <v>120</v>
      </c>
      <c r="C469" s="8" t="s">
        <v>207</v>
      </c>
      <c r="D469" s="8">
        <v>421514.89</v>
      </c>
      <c r="E469" s="8" t="b">
        <v>0</v>
      </c>
      <c r="F469" s="8" t="b">
        <v>0</v>
      </c>
      <c r="G469" s="8">
        <v>32312.9</v>
      </c>
      <c r="H469" s="8">
        <v>429917.36</v>
      </c>
      <c r="I469" s="8">
        <v>-8402.4699999999993</v>
      </c>
      <c r="J469" s="8" t="b">
        <v>0</v>
      </c>
    </row>
    <row r="470" spans="1:10">
      <c r="A470" s="8" t="s">
        <v>185</v>
      </c>
      <c r="B470" s="8" t="s">
        <v>186</v>
      </c>
      <c r="C470" s="8" t="s">
        <v>208</v>
      </c>
      <c r="D470" s="8">
        <v>641651.69999999995</v>
      </c>
      <c r="E470" s="8" t="b">
        <v>0</v>
      </c>
      <c r="F470" s="8" t="b">
        <v>0</v>
      </c>
      <c r="G470" s="8">
        <v>0</v>
      </c>
      <c r="H470" s="8">
        <v>693869.02</v>
      </c>
      <c r="I470" s="8">
        <v>-52217.32</v>
      </c>
      <c r="J470" s="8" t="b">
        <v>0</v>
      </c>
    </row>
    <row r="471" spans="1:10">
      <c r="A471" s="8" t="s">
        <v>81</v>
      </c>
      <c r="B471" s="8" t="s">
        <v>82</v>
      </c>
      <c r="C471" s="8" t="s">
        <v>207</v>
      </c>
      <c r="D471" s="8">
        <v>115100</v>
      </c>
      <c r="E471" s="8" t="b">
        <v>0</v>
      </c>
      <c r="F471" s="8" t="b">
        <v>0</v>
      </c>
      <c r="G471" s="8">
        <v>10980.55</v>
      </c>
      <c r="H471" s="8">
        <v>109915.16</v>
      </c>
      <c r="I471" s="8">
        <v>5184.84</v>
      </c>
      <c r="J471" s="8" t="b">
        <v>0</v>
      </c>
    </row>
    <row r="472" spans="1:10">
      <c r="A472" s="8" t="s">
        <v>61</v>
      </c>
      <c r="B472" s="8" t="s">
        <v>62</v>
      </c>
      <c r="C472" s="8" t="s">
        <v>207</v>
      </c>
      <c r="D472" s="8">
        <v>246578.27</v>
      </c>
      <c r="E472" s="8" t="b">
        <v>0</v>
      </c>
      <c r="F472" s="8" t="b">
        <v>0</v>
      </c>
      <c r="G472" s="8">
        <v>13346.55</v>
      </c>
      <c r="H472" s="8">
        <v>270619.77</v>
      </c>
      <c r="I472" s="8">
        <v>-24041.5</v>
      </c>
      <c r="J472" s="8" t="b">
        <v>0</v>
      </c>
    </row>
    <row r="473" spans="1:10">
      <c r="A473" s="8" t="s">
        <v>75</v>
      </c>
      <c r="B473" s="8" t="s">
        <v>76</v>
      </c>
      <c r="C473" s="8" t="s">
        <v>208</v>
      </c>
      <c r="D473" s="8">
        <v>395033</v>
      </c>
      <c r="E473" s="8" t="b">
        <v>0</v>
      </c>
      <c r="F473" s="8" t="b">
        <v>0</v>
      </c>
      <c r="G473" s="8">
        <v>49827.24</v>
      </c>
      <c r="H473" s="8">
        <v>370635.24</v>
      </c>
      <c r="I473" s="8">
        <v>24397.759999999998</v>
      </c>
      <c r="J473" s="8" t="b">
        <v>0</v>
      </c>
    </row>
    <row r="474" spans="1:10">
      <c r="A474" s="8" t="s">
        <v>173</v>
      </c>
      <c r="B474" s="8" t="s">
        <v>174</v>
      </c>
      <c r="C474" s="8" t="s">
        <v>212</v>
      </c>
      <c r="D474" s="8">
        <v>31672</v>
      </c>
      <c r="E474" s="8" t="b">
        <v>0</v>
      </c>
      <c r="F474" s="8" t="b">
        <v>0</v>
      </c>
      <c r="G474" s="8">
        <v>1870.07</v>
      </c>
      <c r="H474" s="8">
        <v>28703.1</v>
      </c>
      <c r="I474" s="8">
        <v>2968.9</v>
      </c>
      <c r="J474" s="8" t="b">
        <v>0</v>
      </c>
    </row>
    <row r="475" spans="1:10">
      <c r="A475" s="8" t="s">
        <v>91</v>
      </c>
      <c r="B475" s="8" t="s">
        <v>92</v>
      </c>
      <c r="C475" s="8" t="s">
        <v>210</v>
      </c>
      <c r="D475" s="8">
        <v>166262.1</v>
      </c>
      <c r="E475" s="8" t="b">
        <v>0</v>
      </c>
      <c r="F475" s="8" t="b">
        <v>0</v>
      </c>
      <c r="G475" s="8">
        <v>26006.880000000001</v>
      </c>
      <c r="H475" s="8">
        <v>162618.64000000001</v>
      </c>
      <c r="I475" s="8">
        <v>3643.46</v>
      </c>
      <c r="J475" s="8" t="b">
        <v>0</v>
      </c>
    </row>
    <row r="476" spans="1:10">
      <c r="A476" s="8" t="s">
        <v>201</v>
      </c>
      <c r="B476" s="8" t="s">
        <v>202</v>
      </c>
      <c r="C476" s="8" t="s">
        <v>211</v>
      </c>
      <c r="D476" s="8">
        <v>49782.81</v>
      </c>
      <c r="E476" s="8" t="b">
        <v>0</v>
      </c>
      <c r="F476" s="8" t="b">
        <v>0</v>
      </c>
      <c r="G476" s="8">
        <v>3540.48</v>
      </c>
      <c r="H476" s="8">
        <v>44189</v>
      </c>
      <c r="I476" s="8">
        <v>5593.81</v>
      </c>
      <c r="J476" s="8" t="b">
        <v>0</v>
      </c>
    </row>
    <row r="477" spans="1:10">
      <c r="A477" s="8" t="s">
        <v>145</v>
      </c>
      <c r="B477" s="8" t="s">
        <v>146</v>
      </c>
      <c r="C477" s="8" t="s">
        <v>212</v>
      </c>
      <c r="D477" s="8">
        <v>23385.26</v>
      </c>
      <c r="E477" s="8" t="b">
        <v>0</v>
      </c>
      <c r="F477" s="8" t="b">
        <v>0</v>
      </c>
      <c r="G477" s="8">
        <v>512.24</v>
      </c>
      <c r="H477" s="8">
        <v>22925.759999999998</v>
      </c>
      <c r="I477" s="8">
        <v>459.5</v>
      </c>
      <c r="J477" s="8" t="b">
        <v>0</v>
      </c>
    </row>
    <row r="478" spans="1:10">
      <c r="A478" s="8" t="s">
        <v>63</v>
      </c>
      <c r="B478" s="8" t="s">
        <v>64</v>
      </c>
      <c r="C478" s="8" t="s">
        <v>209</v>
      </c>
      <c r="D478" s="8">
        <v>34018.68</v>
      </c>
      <c r="E478" s="8" t="b">
        <v>0</v>
      </c>
      <c r="F478" s="8" t="b">
        <v>0</v>
      </c>
      <c r="G478" s="8">
        <v>0</v>
      </c>
      <c r="H478" s="8">
        <v>35400.870000000003</v>
      </c>
      <c r="I478" s="8">
        <v>-1382.19</v>
      </c>
      <c r="J478" s="8" t="b">
        <v>0</v>
      </c>
    </row>
    <row r="479" spans="1:10">
      <c r="A479" s="8" t="s">
        <v>161</v>
      </c>
      <c r="B479" s="8" t="s">
        <v>162</v>
      </c>
      <c r="C479" s="8" t="s">
        <v>212</v>
      </c>
      <c r="D479" s="8">
        <v>56923.95</v>
      </c>
      <c r="E479" s="8" t="b">
        <v>0</v>
      </c>
      <c r="F479" s="8" t="b">
        <v>0</v>
      </c>
      <c r="G479" s="8">
        <v>3694.53</v>
      </c>
      <c r="H479" s="8">
        <v>61844.71</v>
      </c>
      <c r="I479" s="8">
        <v>-4920.76</v>
      </c>
      <c r="J479" s="8" t="b">
        <v>0</v>
      </c>
    </row>
    <row r="480" spans="1:10">
      <c r="A480" s="8" t="s">
        <v>163</v>
      </c>
      <c r="B480" s="8" t="s">
        <v>164</v>
      </c>
      <c r="C480" s="8" t="s">
        <v>212</v>
      </c>
      <c r="D480" s="8">
        <v>56589</v>
      </c>
      <c r="E480" s="8" t="b">
        <v>0</v>
      </c>
      <c r="F480" s="8" t="b">
        <v>0</v>
      </c>
      <c r="G480" s="8">
        <v>0</v>
      </c>
      <c r="H480" s="8">
        <v>58760.24</v>
      </c>
      <c r="I480" s="8">
        <v>-2171.2399999999998</v>
      </c>
      <c r="J480" s="8" t="b">
        <v>0</v>
      </c>
    </row>
    <row r="481" spans="1:10">
      <c r="A481" s="8" t="s">
        <v>179</v>
      </c>
      <c r="B481" s="8" t="s">
        <v>180</v>
      </c>
      <c r="C481" s="8" t="s">
        <v>210</v>
      </c>
      <c r="D481" s="8">
        <v>102144</v>
      </c>
      <c r="E481" s="8" t="b">
        <v>0</v>
      </c>
      <c r="F481" s="8" t="b">
        <v>0</v>
      </c>
      <c r="G481" s="8">
        <v>19961.12</v>
      </c>
      <c r="H481" s="8">
        <v>79438.98</v>
      </c>
      <c r="I481" s="8">
        <v>22705.02</v>
      </c>
      <c r="J481" s="8" t="b">
        <v>0</v>
      </c>
    </row>
    <row r="482" spans="1:10">
      <c r="A482" s="8" t="s">
        <v>165</v>
      </c>
      <c r="B482" s="8" t="s">
        <v>166</v>
      </c>
      <c r="C482" s="8" t="s">
        <v>209</v>
      </c>
      <c r="D482" s="8">
        <v>16076</v>
      </c>
      <c r="E482" s="8" t="b">
        <v>0</v>
      </c>
      <c r="F482" s="8" t="b">
        <v>0</v>
      </c>
      <c r="G482" s="8">
        <v>1153.19</v>
      </c>
      <c r="H482" s="8">
        <v>8529.2999999999993</v>
      </c>
      <c r="I482" s="8">
        <v>7546.7</v>
      </c>
      <c r="J482" s="8" t="b">
        <v>0</v>
      </c>
    </row>
    <row r="483" spans="1:10">
      <c r="A483" s="8" t="s">
        <v>165</v>
      </c>
      <c r="B483" s="8" t="s">
        <v>166</v>
      </c>
      <c r="C483" s="8" t="s">
        <v>210</v>
      </c>
      <c r="D483" s="8">
        <v>36171</v>
      </c>
      <c r="E483" s="8" t="b">
        <v>0</v>
      </c>
      <c r="F483" s="8" t="b">
        <v>0</v>
      </c>
      <c r="G483" s="8">
        <v>2186.23</v>
      </c>
      <c r="H483" s="8">
        <v>22095.72</v>
      </c>
      <c r="I483" s="8">
        <v>14075.28</v>
      </c>
      <c r="J483" s="8" t="b">
        <v>0</v>
      </c>
    </row>
    <row r="484" spans="1:10">
      <c r="A484" s="8" t="s">
        <v>193</v>
      </c>
      <c r="B484" s="8" t="s">
        <v>194</v>
      </c>
      <c r="C484" s="8" t="s">
        <v>209</v>
      </c>
      <c r="D484" s="8">
        <v>35087.839999999997</v>
      </c>
      <c r="E484" s="8" t="b">
        <v>0</v>
      </c>
      <c r="F484" s="8" t="b">
        <v>0</v>
      </c>
      <c r="G484" s="8">
        <v>2767.24</v>
      </c>
      <c r="H484" s="8">
        <v>26801.74</v>
      </c>
      <c r="I484" s="8">
        <v>8286.1</v>
      </c>
      <c r="J484" s="8" t="b">
        <v>0</v>
      </c>
    </row>
    <row r="485" spans="1:10">
      <c r="A485" s="8" t="s">
        <v>193</v>
      </c>
      <c r="B485" s="8" t="s">
        <v>194</v>
      </c>
      <c r="C485" s="8" t="s">
        <v>210</v>
      </c>
      <c r="D485" s="8">
        <v>56147.73</v>
      </c>
      <c r="E485" s="8" t="b">
        <v>0</v>
      </c>
      <c r="F485" s="8" t="b">
        <v>0</v>
      </c>
      <c r="G485" s="8">
        <v>0</v>
      </c>
      <c r="H485" s="8">
        <v>47402.57</v>
      </c>
      <c r="I485" s="8">
        <v>8745.16</v>
      </c>
      <c r="J485" s="8" t="b">
        <v>0</v>
      </c>
    </row>
    <row r="486" spans="1:10">
      <c r="A486" s="8" t="s">
        <v>95</v>
      </c>
      <c r="B486" s="8" t="s">
        <v>96</v>
      </c>
      <c r="C486" s="8" t="s">
        <v>210</v>
      </c>
      <c r="D486" s="8">
        <v>64605.86</v>
      </c>
      <c r="E486" s="8" t="b">
        <v>0</v>
      </c>
      <c r="F486" s="8" t="b">
        <v>0</v>
      </c>
      <c r="G486" s="8">
        <v>2255.23</v>
      </c>
      <c r="H486" s="8">
        <v>59761.4</v>
      </c>
      <c r="I486" s="8">
        <v>4844.46</v>
      </c>
      <c r="J486" s="8" t="b">
        <v>0</v>
      </c>
    </row>
    <row r="487" spans="1:10">
      <c r="A487" s="8" t="s">
        <v>57</v>
      </c>
      <c r="B487" s="8" t="s">
        <v>58</v>
      </c>
      <c r="C487" s="8" t="s">
        <v>208</v>
      </c>
      <c r="D487" s="8">
        <v>663633</v>
      </c>
      <c r="E487" s="8" t="b">
        <v>0</v>
      </c>
      <c r="F487" s="8" t="b">
        <v>0</v>
      </c>
      <c r="G487" s="8">
        <v>103488.03</v>
      </c>
      <c r="H487" s="8">
        <v>393700.83</v>
      </c>
      <c r="I487" s="8">
        <v>269932.17</v>
      </c>
      <c r="J487" s="8" t="b">
        <v>0</v>
      </c>
    </row>
    <row r="488" spans="1:10">
      <c r="A488" s="8" t="s">
        <v>117</v>
      </c>
      <c r="B488" s="8" t="s">
        <v>118</v>
      </c>
      <c r="C488" s="8" t="s">
        <v>208</v>
      </c>
      <c r="D488" s="8">
        <v>580491.42000000004</v>
      </c>
      <c r="E488" s="8" t="b">
        <v>0</v>
      </c>
      <c r="F488" s="8" t="b">
        <v>0</v>
      </c>
      <c r="G488" s="8">
        <v>13456.49</v>
      </c>
      <c r="H488" s="8">
        <v>268409.53000000003</v>
      </c>
      <c r="I488" s="8">
        <v>312081.89</v>
      </c>
      <c r="J488" s="8" t="b">
        <v>0</v>
      </c>
    </row>
    <row r="489" spans="1:10">
      <c r="A489" s="8" t="s">
        <v>97</v>
      </c>
      <c r="B489" s="8" t="s">
        <v>98</v>
      </c>
      <c r="C489" s="8" t="s">
        <v>212</v>
      </c>
      <c r="D489" s="8">
        <v>123890.04</v>
      </c>
      <c r="E489" s="8" t="b">
        <v>0</v>
      </c>
      <c r="F489" s="8" t="b">
        <v>0</v>
      </c>
      <c r="G489" s="8">
        <v>33957.699999999997</v>
      </c>
      <c r="H489" s="8">
        <v>111243.03</v>
      </c>
      <c r="I489" s="8">
        <v>12647.01</v>
      </c>
      <c r="J489" s="8" t="b">
        <v>0</v>
      </c>
    </row>
    <row r="490" spans="1:10">
      <c r="A490" s="8" t="s">
        <v>139</v>
      </c>
      <c r="B490" s="8" t="s">
        <v>140</v>
      </c>
      <c r="C490" s="8" t="s">
        <v>211</v>
      </c>
      <c r="D490" s="8">
        <v>31607.8</v>
      </c>
      <c r="E490" s="8" t="b">
        <v>0</v>
      </c>
      <c r="F490" s="8" t="b">
        <v>0</v>
      </c>
      <c r="G490" s="8">
        <v>0</v>
      </c>
      <c r="H490" s="8">
        <v>30835.07</v>
      </c>
      <c r="I490" s="8">
        <v>772.73</v>
      </c>
      <c r="J490" s="8" t="b">
        <v>0</v>
      </c>
    </row>
    <row r="491" spans="1:10">
      <c r="A491" s="8" t="s">
        <v>73</v>
      </c>
      <c r="B491" s="8" t="s">
        <v>74</v>
      </c>
      <c r="C491" s="8" t="s">
        <v>207</v>
      </c>
      <c r="D491" s="8">
        <v>235686.2</v>
      </c>
      <c r="E491" s="8" t="b">
        <v>0</v>
      </c>
      <c r="F491" s="8" t="b">
        <v>0</v>
      </c>
      <c r="G491" s="8">
        <v>56588.84</v>
      </c>
      <c r="H491" s="8">
        <v>211362.76</v>
      </c>
      <c r="I491" s="8">
        <v>24323.439999999999</v>
      </c>
      <c r="J491" s="8" t="b">
        <v>0</v>
      </c>
    </row>
    <row r="492" spans="1:10">
      <c r="A492" s="8" t="s">
        <v>91</v>
      </c>
      <c r="B492" s="8" t="s">
        <v>92</v>
      </c>
      <c r="C492" s="8" t="s">
        <v>209</v>
      </c>
      <c r="D492" s="8">
        <v>94933.66</v>
      </c>
      <c r="E492" s="8" t="b">
        <v>0</v>
      </c>
      <c r="F492" s="8" t="b">
        <v>0</v>
      </c>
      <c r="G492" s="8">
        <v>8178.91</v>
      </c>
      <c r="H492" s="8">
        <v>90709.51</v>
      </c>
      <c r="I492" s="8">
        <v>4224.1499999999996</v>
      </c>
      <c r="J492" s="8" t="b">
        <v>0</v>
      </c>
    </row>
    <row r="493" spans="1:10">
      <c r="A493" s="8" t="s">
        <v>111</v>
      </c>
      <c r="B493" s="8" t="s">
        <v>112</v>
      </c>
      <c r="C493" s="8" t="s">
        <v>208</v>
      </c>
      <c r="D493" s="8">
        <v>210366</v>
      </c>
      <c r="E493" s="8" t="b">
        <v>0</v>
      </c>
      <c r="F493" s="8" t="b">
        <v>0</v>
      </c>
      <c r="G493" s="8">
        <v>20931.93</v>
      </c>
      <c r="H493" s="8">
        <v>200597.55</v>
      </c>
      <c r="I493" s="8">
        <v>9768.4500000000007</v>
      </c>
      <c r="J493" s="8" t="b">
        <v>0</v>
      </c>
    </row>
    <row r="494" spans="1:10">
      <c r="A494" s="8" t="s">
        <v>63</v>
      </c>
      <c r="B494" s="8" t="s">
        <v>64</v>
      </c>
      <c r="C494" s="8" t="s">
        <v>210</v>
      </c>
      <c r="D494" s="8">
        <v>59393.46</v>
      </c>
      <c r="E494" s="8" t="b">
        <v>0</v>
      </c>
      <c r="F494" s="8" t="b">
        <v>0</v>
      </c>
      <c r="G494" s="8">
        <v>2104</v>
      </c>
      <c r="H494" s="8">
        <v>59665.7</v>
      </c>
      <c r="I494" s="8">
        <v>-272.24</v>
      </c>
      <c r="J494" s="8" t="b">
        <v>0</v>
      </c>
    </row>
    <row r="495" spans="1:10">
      <c r="A495" s="8" t="s">
        <v>179</v>
      </c>
      <c r="B495" s="8" t="s">
        <v>180</v>
      </c>
      <c r="C495" s="8" t="s">
        <v>209</v>
      </c>
      <c r="D495" s="8">
        <v>63840</v>
      </c>
      <c r="E495" s="8" t="b">
        <v>0</v>
      </c>
      <c r="F495" s="8" t="b">
        <v>0</v>
      </c>
      <c r="G495" s="8">
        <v>3818.77</v>
      </c>
      <c r="H495" s="8">
        <v>56417.11</v>
      </c>
      <c r="I495" s="8">
        <v>7422.89</v>
      </c>
      <c r="J495" s="8" t="b">
        <v>0</v>
      </c>
    </row>
    <row r="496" spans="1:10">
      <c r="A496" s="8" t="s">
        <v>135</v>
      </c>
      <c r="B496" s="8" t="s">
        <v>136</v>
      </c>
      <c r="C496" s="8" t="s">
        <v>212</v>
      </c>
      <c r="D496" s="8">
        <v>32337.55</v>
      </c>
      <c r="E496" s="8" t="b">
        <v>0</v>
      </c>
      <c r="F496" s="8" t="b">
        <v>0</v>
      </c>
      <c r="G496" s="8">
        <v>1477.09</v>
      </c>
      <c r="H496" s="8">
        <v>27644.82</v>
      </c>
      <c r="I496" s="8">
        <v>4692.7299999999996</v>
      </c>
      <c r="J496" s="8" t="b">
        <v>0</v>
      </c>
    </row>
    <row r="497" spans="1:10">
      <c r="A497" s="8" t="s">
        <v>95</v>
      </c>
      <c r="B497" s="8" t="s">
        <v>96</v>
      </c>
      <c r="C497" s="8" t="s">
        <v>209</v>
      </c>
      <c r="D497" s="8">
        <v>45886.720000000001</v>
      </c>
      <c r="E497" s="8" t="b">
        <v>0</v>
      </c>
      <c r="F497" s="8" t="b">
        <v>0</v>
      </c>
      <c r="G497" s="8">
        <v>1175.1099999999999</v>
      </c>
      <c r="H497" s="8">
        <v>40380.089999999997</v>
      </c>
      <c r="I497" s="8">
        <v>5506.63</v>
      </c>
      <c r="J497" s="8" t="b">
        <v>0</v>
      </c>
    </row>
    <row r="498" spans="1:10">
      <c r="A498" s="8" t="s">
        <v>15</v>
      </c>
      <c r="B498" s="8" t="s">
        <v>16</v>
      </c>
      <c r="C498" s="8" t="s">
        <v>209</v>
      </c>
      <c r="D498" s="8">
        <v>36525.69</v>
      </c>
      <c r="E498" s="8" t="b">
        <v>0</v>
      </c>
      <c r="F498" s="8" t="b">
        <v>0</v>
      </c>
      <c r="G498" s="8">
        <v>850.3</v>
      </c>
      <c r="H498" s="8">
        <v>35997.9</v>
      </c>
      <c r="I498" s="8">
        <v>527.79</v>
      </c>
      <c r="J498" s="8" t="b">
        <v>0</v>
      </c>
    </row>
    <row r="499" spans="1:10">
      <c r="A499" s="8" t="s">
        <v>15</v>
      </c>
      <c r="B499" s="8" t="s">
        <v>16</v>
      </c>
      <c r="C499" s="8" t="s">
        <v>210</v>
      </c>
      <c r="D499" s="8">
        <v>81190.149999999994</v>
      </c>
      <c r="E499" s="8" t="b">
        <v>0</v>
      </c>
      <c r="F499" s="8" t="b">
        <v>0</v>
      </c>
      <c r="G499" s="8">
        <v>4882.1400000000003</v>
      </c>
      <c r="H499" s="8">
        <v>74625.37</v>
      </c>
      <c r="I499" s="8">
        <v>6564.78</v>
      </c>
      <c r="J499" s="8" t="b">
        <v>0</v>
      </c>
    </row>
    <row r="500" spans="1:10">
      <c r="A500" s="8" t="s">
        <v>23</v>
      </c>
      <c r="B500" s="8" t="s">
        <v>24</v>
      </c>
      <c r="C500" s="8" t="s">
        <v>209</v>
      </c>
      <c r="D500" s="8">
        <v>88696</v>
      </c>
      <c r="E500" s="8" t="b">
        <v>0</v>
      </c>
      <c r="F500" s="8" t="b">
        <v>0</v>
      </c>
      <c r="G500" s="8">
        <v>4220.32</v>
      </c>
      <c r="H500" s="8">
        <v>83152.820000000007</v>
      </c>
      <c r="I500" s="8">
        <v>5543.18</v>
      </c>
      <c r="J500" s="8" t="b">
        <v>0</v>
      </c>
    </row>
    <row r="501" spans="1:10">
      <c r="A501" s="8" t="s">
        <v>23</v>
      </c>
      <c r="B501" s="8" t="s">
        <v>24</v>
      </c>
      <c r="C501" s="8" t="s">
        <v>210</v>
      </c>
      <c r="D501" s="8">
        <v>155218</v>
      </c>
      <c r="E501" s="8" t="b">
        <v>0</v>
      </c>
      <c r="F501" s="8" t="b">
        <v>0</v>
      </c>
      <c r="G501" s="8">
        <v>13243.15</v>
      </c>
      <c r="H501" s="8">
        <v>160742.62</v>
      </c>
      <c r="I501" s="8">
        <v>-5524.62</v>
      </c>
      <c r="J501" s="8" t="b">
        <v>0</v>
      </c>
    </row>
    <row r="502" spans="1:10">
      <c r="A502" s="8" t="s">
        <v>197</v>
      </c>
      <c r="B502" s="8" t="s">
        <v>198</v>
      </c>
      <c r="C502" s="8" t="s">
        <v>208</v>
      </c>
      <c r="D502" s="8">
        <v>433132.56</v>
      </c>
      <c r="E502" s="8" t="b">
        <v>0</v>
      </c>
      <c r="F502" s="8" t="b">
        <v>0</v>
      </c>
      <c r="G502" s="8">
        <v>104465.38</v>
      </c>
      <c r="H502" s="8">
        <v>389688.63</v>
      </c>
      <c r="I502" s="8">
        <v>43443.93</v>
      </c>
      <c r="J502" s="8" t="b">
        <v>0</v>
      </c>
    </row>
    <row r="503" spans="1:10">
      <c r="A503" s="8" t="s">
        <v>157</v>
      </c>
      <c r="B503" s="8" t="s">
        <v>158</v>
      </c>
      <c r="C503" s="8" t="s">
        <v>209</v>
      </c>
      <c r="D503" s="8">
        <v>47053.07</v>
      </c>
      <c r="E503" s="8" t="b">
        <v>0</v>
      </c>
      <c r="F503" s="8" t="b">
        <v>0</v>
      </c>
      <c r="G503" s="8">
        <v>14002</v>
      </c>
      <c r="H503" s="8">
        <v>32820.39</v>
      </c>
      <c r="I503" s="8">
        <v>14232.68</v>
      </c>
      <c r="J503" s="8" t="b">
        <v>0</v>
      </c>
    </row>
    <row r="504" spans="1:10">
      <c r="A504" s="8" t="s">
        <v>157</v>
      </c>
      <c r="B504" s="8" t="s">
        <v>158</v>
      </c>
      <c r="C504" s="8" t="s">
        <v>210</v>
      </c>
      <c r="D504" s="8">
        <v>104744.12</v>
      </c>
      <c r="E504" s="8" t="b">
        <v>0</v>
      </c>
      <c r="F504" s="8" t="b">
        <v>0</v>
      </c>
      <c r="G504" s="8">
        <v>5203.96</v>
      </c>
      <c r="H504" s="8">
        <v>104693.45</v>
      </c>
      <c r="I504" s="8">
        <v>50.67</v>
      </c>
      <c r="J504" s="8" t="b">
        <v>0</v>
      </c>
    </row>
    <row r="505" spans="1:10">
      <c r="A505" s="8" t="s">
        <v>29</v>
      </c>
      <c r="B505" s="8" t="s">
        <v>30</v>
      </c>
      <c r="C505" s="8" t="s">
        <v>212</v>
      </c>
      <c r="D505" s="8">
        <v>89576.07</v>
      </c>
      <c r="E505" s="8" t="b">
        <v>0</v>
      </c>
      <c r="F505" s="8" t="b">
        <v>0</v>
      </c>
      <c r="G505" s="8">
        <v>6900.8</v>
      </c>
      <c r="H505" s="8">
        <v>79592.179999999993</v>
      </c>
      <c r="I505" s="8">
        <v>9983.89</v>
      </c>
      <c r="J505" s="8" t="b">
        <v>0</v>
      </c>
    </row>
    <row r="506" spans="1:10">
      <c r="A506" s="8" t="s">
        <v>73</v>
      </c>
      <c r="B506" s="8" t="s">
        <v>74</v>
      </c>
      <c r="C506" s="8" t="s">
        <v>212</v>
      </c>
      <c r="D506" s="8">
        <v>52423.64</v>
      </c>
      <c r="E506" s="8" t="b">
        <v>0</v>
      </c>
      <c r="F506" s="8" t="b">
        <v>0</v>
      </c>
      <c r="G506" s="8">
        <v>0</v>
      </c>
      <c r="H506" s="8">
        <v>58222.64</v>
      </c>
      <c r="I506" s="8">
        <v>-5799</v>
      </c>
      <c r="J506" s="8" t="b">
        <v>0</v>
      </c>
    </row>
    <row r="507" spans="1:10">
      <c r="A507" s="8" t="s">
        <v>89</v>
      </c>
      <c r="B507" s="8" t="s">
        <v>90</v>
      </c>
      <c r="C507" s="8" t="s">
        <v>208</v>
      </c>
      <c r="D507" s="8">
        <v>322989</v>
      </c>
      <c r="E507" s="8" t="b">
        <v>0</v>
      </c>
      <c r="F507" s="8" t="b">
        <v>0</v>
      </c>
      <c r="G507" s="8">
        <v>19831.34</v>
      </c>
      <c r="H507" s="8">
        <v>323908.28999999998</v>
      </c>
      <c r="I507" s="8">
        <v>-919.29</v>
      </c>
      <c r="J507" s="8" t="b">
        <v>0</v>
      </c>
    </row>
    <row r="508" spans="1:10">
      <c r="A508" s="8" t="s">
        <v>119</v>
      </c>
      <c r="B508" s="8" t="s">
        <v>120</v>
      </c>
      <c r="C508" s="8" t="s">
        <v>212</v>
      </c>
      <c r="D508" s="8">
        <v>87952.68</v>
      </c>
      <c r="E508" s="8" t="b">
        <v>0</v>
      </c>
      <c r="F508" s="8" t="b">
        <v>0</v>
      </c>
      <c r="G508" s="8">
        <v>0</v>
      </c>
      <c r="H508" s="8">
        <v>91326.07</v>
      </c>
      <c r="I508" s="8">
        <v>-3373.39</v>
      </c>
      <c r="J508" s="8" t="b">
        <v>0</v>
      </c>
    </row>
    <row r="509" spans="1:10">
      <c r="A509" s="8" t="s">
        <v>185</v>
      </c>
      <c r="B509" s="8" t="s">
        <v>186</v>
      </c>
      <c r="C509" s="8" t="s">
        <v>211</v>
      </c>
      <c r="D509" s="8">
        <v>61701.64</v>
      </c>
      <c r="E509" s="8" t="b">
        <v>0</v>
      </c>
      <c r="F509" s="8" t="b">
        <v>0</v>
      </c>
      <c r="G509" s="8">
        <v>5454.01</v>
      </c>
      <c r="H509" s="8">
        <v>58155.55</v>
      </c>
      <c r="I509" s="8">
        <v>3546.09</v>
      </c>
      <c r="J509" s="8" t="b">
        <v>0</v>
      </c>
    </row>
    <row r="510" spans="1:10">
      <c r="A510" s="8" t="s">
        <v>187</v>
      </c>
      <c r="B510" s="8" t="s">
        <v>188</v>
      </c>
      <c r="C510" s="8" t="s">
        <v>209</v>
      </c>
      <c r="D510" s="8">
        <v>47040</v>
      </c>
      <c r="E510" s="8" t="b">
        <v>0</v>
      </c>
      <c r="F510" s="8" t="b">
        <v>0</v>
      </c>
      <c r="G510" s="8">
        <v>0</v>
      </c>
      <c r="H510" s="8">
        <v>42217.08</v>
      </c>
      <c r="I510" s="8">
        <v>4822.92</v>
      </c>
      <c r="J510" s="8" t="b">
        <v>0</v>
      </c>
    </row>
    <row r="511" spans="1:10">
      <c r="A511" s="8" t="s">
        <v>187</v>
      </c>
      <c r="B511" s="8" t="s">
        <v>188</v>
      </c>
      <c r="C511" s="8" t="s">
        <v>210</v>
      </c>
      <c r="D511" s="8">
        <v>105840</v>
      </c>
      <c r="E511" s="8" t="b">
        <v>0</v>
      </c>
      <c r="F511" s="8" t="b">
        <v>0</v>
      </c>
      <c r="G511" s="8">
        <v>16035.86</v>
      </c>
      <c r="H511" s="8">
        <v>80572.56</v>
      </c>
      <c r="I511" s="8">
        <v>25267.439999999999</v>
      </c>
      <c r="J511" s="8" t="b">
        <v>0</v>
      </c>
    </row>
    <row r="512" spans="1:10">
      <c r="A512" s="8" t="s">
        <v>75</v>
      </c>
      <c r="B512" s="8" t="s">
        <v>76</v>
      </c>
      <c r="C512" s="8" t="s">
        <v>211</v>
      </c>
      <c r="D512" s="8">
        <v>38229</v>
      </c>
      <c r="E512" s="8" t="b">
        <v>0</v>
      </c>
      <c r="F512" s="8" t="b">
        <v>0</v>
      </c>
      <c r="G512" s="8">
        <v>2454.44</v>
      </c>
      <c r="H512" s="8">
        <v>40646.03</v>
      </c>
      <c r="I512" s="8">
        <v>-2417.0300000000002</v>
      </c>
      <c r="J512" s="8" t="b">
        <v>0</v>
      </c>
    </row>
    <row r="513" spans="1:10">
      <c r="A513" s="8" t="s">
        <v>173</v>
      </c>
      <c r="B513" s="8" t="s">
        <v>174</v>
      </c>
      <c r="C513" s="8" t="s">
        <v>207</v>
      </c>
      <c r="D513" s="8">
        <v>197950</v>
      </c>
      <c r="E513" s="8" t="b">
        <v>0</v>
      </c>
      <c r="F513" s="8" t="b">
        <v>0</v>
      </c>
      <c r="G513" s="8">
        <v>9205.06</v>
      </c>
      <c r="H513" s="8">
        <v>202929.38</v>
      </c>
      <c r="I513" s="8">
        <v>-4979.38</v>
      </c>
      <c r="J513" s="8" t="b">
        <v>0</v>
      </c>
    </row>
    <row r="514" spans="1:10">
      <c r="A514" s="8" t="s">
        <v>201</v>
      </c>
      <c r="B514" s="8" t="s">
        <v>202</v>
      </c>
      <c r="C514" s="8" t="s">
        <v>208</v>
      </c>
      <c r="D514" s="8">
        <v>760763.97</v>
      </c>
      <c r="E514" s="8" t="b">
        <v>0</v>
      </c>
      <c r="F514" s="8" t="b">
        <v>0</v>
      </c>
      <c r="G514" s="8">
        <v>70082.97</v>
      </c>
      <c r="H514" s="8">
        <v>768041.15</v>
      </c>
      <c r="I514" s="8">
        <v>-7277.18</v>
      </c>
      <c r="J514" s="8" t="b">
        <v>0</v>
      </c>
    </row>
    <row r="515" spans="1:10">
      <c r="A515" s="8" t="s">
        <v>111</v>
      </c>
      <c r="B515" s="8" t="s">
        <v>112</v>
      </c>
      <c r="C515" s="8" t="s">
        <v>211</v>
      </c>
      <c r="D515" s="8">
        <v>20358</v>
      </c>
      <c r="E515" s="8" t="b">
        <v>0</v>
      </c>
      <c r="F515" s="8" t="b">
        <v>0</v>
      </c>
      <c r="G515" s="8">
        <v>791.23</v>
      </c>
      <c r="H515" s="8">
        <v>20442.96</v>
      </c>
      <c r="I515" s="8">
        <v>-84.96</v>
      </c>
      <c r="J515" s="8" t="b">
        <v>0</v>
      </c>
    </row>
    <row r="516" spans="1:10">
      <c r="A516" s="8" t="s">
        <v>161</v>
      </c>
      <c r="B516" s="8" t="s">
        <v>162</v>
      </c>
      <c r="C516" s="8" t="s">
        <v>207</v>
      </c>
      <c r="D516" s="8">
        <v>297627.21999999997</v>
      </c>
      <c r="E516" s="8" t="b">
        <v>0</v>
      </c>
      <c r="F516" s="8" t="b">
        <v>0</v>
      </c>
      <c r="G516" s="8">
        <v>58604.54</v>
      </c>
      <c r="H516" s="8">
        <v>310028.95</v>
      </c>
      <c r="I516" s="8">
        <v>-12401.73</v>
      </c>
      <c r="J516" s="8" t="b">
        <v>0</v>
      </c>
    </row>
    <row r="517" spans="1:10">
      <c r="A517" s="8" t="s">
        <v>163</v>
      </c>
      <c r="B517" s="8" t="s">
        <v>164</v>
      </c>
      <c r="C517" s="8" t="s">
        <v>207</v>
      </c>
      <c r="D517" s="8">
        <v>547027</v>
      </c>
      <c r="E517" s="8" t="b">
        <v>0</v>
      </c>
      <c r="F517" s="8" t="b">
        <v>0</v>
      </c>
      <c r="G517" s="8">
        <v>130621.81</v>
      </c>
      <c r="H517" s="8">
        <v>457181.57</v>
      </c>
      <c r="I517" s="8">
        <v>89845.43</v>
      </c>
      <c r="J517" s="8" t="b">
        <v>0</v>
      </c>
    </row>
    <row r="518" spans="1:10">
      <c r="A518" s="8" t="s">
        <v>135</v>
      </c>
      <c r="B518" s="8" t="s">
        <v>136</v>
      </c>
      <c r="C518" s="8" t="s">
        <v>207</v>
      </c>
      <c r="D518" s="8">
        <v>196960.79</v>
      </c>
      <c r="E518" s="8" t="b">
        <v>0</v>
      </c>
      <c r="F518" s="8" t="b">
        <v>0</v>
      </c>
      <c r="G518" s="8">
        <v>0</v>
      </c>
      <c r="H518" s="8">
        <v>188123.41</v>
      </c>
      <c r="I518" s="8">
        <v>8837.3799999999992</v>
      </c>
      <c r="J518" s="8" t="b">
        <v>0</v>
      </c>
    </row>
    <row r="519" spans="1:10">
      <c r="A519" s="8" t="s">
        <v>57</v>
      </c>
      <c r="B519" s="8" t="s">
        <v>58</v>
      </c>
      <c r="C519" s="8" t="s">
        <v>211</v>
      </c>
      <c r="D519" s="8">
        <v>73737</v>
      </c>
      <c r="E519" s="8" t="b">
        <v>0</v>
      </c>
      <c r="F519" s="8" t="b">
        <v>0</v>
      </c>
      <c r="G519" s="8">
        <v>4116.2299999999996</v>
      </c>
      <c r="H519" s="8">
        <v>50264.82</v>
      </c>
      <c r="I519" s="8">
        <v>23472.18</v>
      </c>
      <c r="J519" s="8" t="b">
        <v>0</v>
      </c>
    </row>
    <row r="520" spans="1:10">
      <c r="A520" s="8" t="s">
        <v>97</v>
      </c>
      <c r="B520" s="8" t="s">
        <v>98</v>
      </c>
      <c r="C520" s="8" t="s">
        <v>207</v>
      </c>
      <c r="D520" s="8">
        <v>612380.56999999995</v>
      </c>
      <c r="E520" s="8" t="b">
        <v>0</v>
      </c>
      <c r="F520" s="8" t="b">
        <v>0</v>
      </c>
      <c r="G520" s="8">
        <v>0</v>
      </c>
      <c r="H520" s="8">
        <v>732358.26</v>
      </c>
      <c r="I520" s="8">
        <v>-119977.69</v>
      </c>
      <c r="J520" s="8" t="b">
        <v>0</v>
      </c>
    </row>
    <row r="521" spans="1:10">
      <c r="A521" s="8" t="s">
        <v>21</v>
      </c>
      <c r="B521" s="8" t="s">
        <v>22</v>
      </c>
      <c r="C521" s="8" t="s">
        <v>209</v>
      </c>
      <c r="D521" s="8">
        <v>41500</v>
      </c>
      <c r="E521" s="8" t="b">
        <v>0</v>
      </c>
      <c r="F521" s="8" t="b">
        <v>0</v>
      </c>
      <c r="G521" s="8">
        <v>9957.66</v>
      </c>
      <c r="H521" s="8">
        <v>32698.7</v>
      </c>
      <c r="I521" s="8">
        <v>8801.2999999999993</v>
      </c>
      <c r="J521" s="8" t="b">
        <v>0</v>
      </c>
    </row>
    <row r="522" spans="1:10">
      <c r="A522" s="8" t="s">
        <v>139</v>
      </c>
      <c r="B522" s="8" t="s">
        <v>140</v>
      </c>
      <c r="C522" s="8" t="s">
        <v>208</v>
      </c>
      <c r="D522" s="8">
        <v>299367.89</v>
      </c>
      <c r="E522" s="8" t="b">
        <v>0</v>
      </c>
      <c r="F522" s="8" t="b">
        <v>0</v>
      </c>
      <c r="G522" s="8">
        <v>79704.66</v>
      </c>
      <c r="H522" s="8">
        <v>237134.51</v>
      </c>
      <c r="I522" s="8">
        <v>62233.38</v>
      </c>
      <c r="J522" s="8" t="b">
        <v>0</v>
      </c>
    </row>
    <row r="523" spans="1:10">
      <c r="A523" s="8" t="s">
        <v>25</v>
      </c>
      <c r="B523" s="8" t="s">
        <v>26</v>
      </c>
      <c r="C523" s="8" t="s">
        <v>212</v>
      </c>
      <c r="D523" s="8">
        <v>18009.53</v>
      </c>
      <c r="E523" s="8" t="b">
        <v>0</v>
      </c>
      <c r="F523" s="8" t="b">
        <v>0</v>
      </c>
      <c r="G523" s="8">
        <v>0</v>
      </c>
      <c r="H523" s="8">
        <v>18290.240000000002</v>
      </c>
      <c r="I523" s="8">
        <v>-280.70999999999998</v>
      </c>
      <c r="J523" s="8" t="b">
        <v>0</v>
      </c>
    </row>
    <row r="524" spans="1:10">
      <c r="A524" s="8" t="s">
        <v>101</v>
      </c>
      <c r="B524" s="8" t="s">
        <v>102</v>
      </c>
      <c r="C524" s="8" t="s">
        <v>208</v>
      </c>
      <c r="D524" s="8">
        <v>157299.26</v>
      </c>
      <c r="E524" s="8" t="b">
        <v>0</v>
      </c>
      <c r="F524" s="8" t="b">
        <v>0</v>
      </c>
      <c r="G524" s="8">
        <v>0</v>
      </c>
      <c r="H524" s="8">
        <v>161604.04999999999</v>
      </c>
      <c r="I524" s="8">
        <v>-4304.79</v>
      </c>
      <c r="J524" s="8" t="b">
        <v>0</v>
      </c>
    </row>
    <row r="525" spans="1:10">
      <c r="A525" s="8" t="s">
        <v>27</v>
      </c>
      <c r="B525" s="8" t="s">
        <v>28</v>
      </c>
      <c r="C525" s="8" t="s">
        <v>212</v>
      </c>
      <c r="D525" s="8">
        <v>34020</v>
      </c>
      <c r="E525" s="8" t="b">
        <v>0</v>
      </c>
      <c r="F525" s="8" t="b">
        <v>0</v>
      </c>
      <c r="G525" s="8">
        <v>6399.4</v>
      </c>
      <c r="H525" s="8">
        <v>28165.63</v>
      </c>
      <c r="I525" s="8">
        <v>5854.37</v>
      </c>
      <c r="J525" s="8" t="b">
        <v>0</v>
      </c>
    </row>
    <row r="526" spans="1:10">
      <c r="A526" s="8" t="s">
        <v>153</v>
      </c>
      <c r="B526" s="8" t="s">
        <v>154</v>
      </c>
      <c r="C526" s="8" t="s">
        <v>209</v>
      </c>
      <c r="D526" s="8">
        <v>64943.8</v>
      </c>
      <c r="E526" s="8" t="b">
        <v>0</v>
      </c>
      <c r="F526" s="8" t="b">
        <v>0</v>
      </c>
      <c r="G526" s="8">
        <v>1868.85</v>
      </c>
      <c r="H526" s="8">
        <v>61603.9</v>
      </c>
      <c r="I526" s="8">
        <v>3339.9</v>
      </c>
      <c r="J526" s="8" t="b">
        <v>0</v>
      </c>
    </row>
    <row r="527" spans="1:10">
      <c r="A527" s="8" t="s">
        <v>153</v>
      </c>
      <c r="B527" s="8" t="s">
        <v>154</v>
      </c>
      <c r="C527" s="8" t="s">
        <v>210</v>
      </c>
      <c r="D527" s="8">
        <v>113407</v>
      </c>
      <c r="E527" s="8" t="b">
        <v>0</v>
      </c>
      <c r="F527" s="8" t="b">
        <v>0</v>
      </c>
      <c r="G527" s="8">
        <v>6777.7</v>
      </c>
      <c r="H527" s="8">
        <v>109320.64</v>
      </c>
      <c r="I527" s="8">
        <v>4086.36</v>
      </c>
      <c r="J527" s="8" t="b">
        <v>0</v>
      </c>
    </row>
    <row r="528" spans="1:10">
      <c r="A528" s="8" t="s">
        <v>145</v>
      </c>
      <c r="B528" s="8" t="s">
        <v>146</v>
      </c>
      <c r="C528" s="8" t="s">
        <v>207</v>
      </c>
      <c r="D528" s="8">
        <v>143924.13</v>
      </c>
      <c r="E528" s="8" t="b">
        <v>0</v>
      </c>
      <c r="F528" s="8" t="b">
        <v>0</v>
      </c>
      <c r="G528" s="8">
        <v>32167.439999999999</v>
      </c>
      <c r="H528" s="8">
        <v>114352.02</v>
      </c>
      <c r="I528" s="8">
        <v>29572.11</v>
      </c>
      <c r="J528" s="8" t="b">
        <v>0</v>
      </c>
    </row>
    <row r="529" spans="1:10">
      <c r="A529" s="8" t="s">
        <v>21</v>
      </c>
      <c r="B529" s="8" t="s">
        <v>22</v>
      </c>
      <c r="C529" s="8" t="s">
        <v>210</v>
      </c>
      <c r="D529" s="8">
        <v>66400</v>
      </c>
      <c r="E529" s="8" t="b">
        <v>0</v>
      </c>
      <c r="F529" s="8" t="b">
        <v>0</v>
      </c>
      <c r="G529" s="8">
        <v>1437.5</v>
      </c>
      <c r="H529" s="8">
        <v>63584.13</v>
      </c>
      <c r="I529" s="8">
        <v>2815.87</v>
      </c>
      <c r="J529" s="8" t="b">
        <v>0</v>
      </c>
    </row>
    <row r="530" spans="1:10">
      <c r="A530" s="8" t="s">
        <v>79</v>
      </c>
      <c r="B530" s="8" t="s">
        <v>80</v>
      </c>
      <c r="C530" s="8" t="s">
        <v>212</v>
      </c>
      <c r="D530" s="8">
        <v>21240</v>
      </c>
      <c r="E530" s="8" t="b">
        <v>0</v>
      </c>
      <c r="F530" s="8" t="b">
        <v>0</v>
      </c>
      <c r="G530" s="8">
        <v>1602.22</v>
      </c>
      <c r="H530" s="8">
        <v>20659.71</v>
      </c>
      <c r="I530" s="8">
        <v>580.29</v>
      </c>
      <c r="J530" s="8" t="b">
        <v>0</v>
      </c>
    </row>
    <row r="531" spans="1:10">
      <c r="A531" s="8" t="s">
        <v>81</v>
      </c>
      <c r="B531" s="8" t="s">
        <v>82</v>
      </c>
      <c r="C531" s="8" t="s">
        <v>212</v>
      </c>
      <c r="D531" s="8">
        <v>18416</v>
      </c>
      <c r="E531" s="8" t="b">
        <v>0</v>
      </c>
      <c r="F531" s="8" t="b">
        <v>0</v>
      </c>
      <c r="G531" s="8">
        <v>3936.06</v>
      </c>
      <c r="H531" s="8">
        <v>14495.13</v>
      </c>
      <c r="I531" s="8">
        <v>3920.87</v>
      </c>
      <c r="J531" s="8" t="b">
        <v>0</v>
      </c>
    </row>
    <row r="532" spans="1:10">
      <c r="A532" s="8" t="s">
        <v>117</v>
      </c>
      <c r="B532" s="8" t="s">
        <v>118</v>
      </c>
      <c r="C532" s="8" t="s">
        <v>211</v>
      </c>
      <c r="D532" s="8">
        <v>37778.629999999997</v>
      </c>
      <c r="E532" s="8" t="b">
        <v>0</v>
      </c>
      <c r="F532" s="8" t="b">
        <v>0</v>
      </c>
      <c r="G532" s="8">
        <v>402.32</v>
      </c>
      <c r="H532" s="8">
        <v>15459.27</v>
      </c>
      <c r="I532" s="8">
        <v>22319.360000000001</v>
      </c>
      <c r="J532" s="8" t="b">
        <v>0</v>
      </c>
    </row>
    <row r="533" spans="1:10">
      <c r="A533" s="8" t="s">
        <v>61</v>
      </c>
      <c r="B533" s="8" t="s">
        <v>62</v>
      </c>
      <c r="C533" s="8" t="s">
        <v>212</v>
      </c>
      <c r="D533" s="8">
        <v>42271.14</v>
      </c>
      <c r="E533" s="8" t="b">
        <v>0</v>
      </c>
      <c r="F533" s="8" t="b">
        <v>0</v>
      </c>
      <c r="G533" s="8">
        <v>0</v>
      </c>
      <c r="H533" s="8">
        <v>46231.09</v>
      </c>
      <c r="I533" s="8">
        <v>-3959.95</v>
      </c>
      <c r="J533" s="8" t="b">
        <v>0</v>
      </c>
    </row>
    <row r="534" spans="1:10">
      <c r="A534" s="8" t="s">
        <v>97</v>
      </c>
      <c r="B534" s="8" t="s">
        <v>98</v>
      </c>
      <c r="C534" s="8" t="s">
        <v>209</v>
      </c>
      <c r="D534" s="8">
        <v>85110.05</v>
      </c>
      <c r="E534" s="8" t="b">
        <v>0</v>
      </c>
      <c r="F534" s="8" t="b">
        <v>0</v>
      </c>
      <c r="G534" s="8">
        <v>11280.37</v>
      </c>
      <c r="H534" s="8">
        <v>74766.89</v>
      </c>
      <c r="I534" s="8">
        <v>10343.16</v>
      </c>
      <c r="J534" s="8" t="b">
        <v>0</v>
      </c>
    </row>
    <row r="535" spans="1:10">
      <c r="A535" s="8" t="s">
        <v>97</v>
      </c>
      <c r="B535" s="8" t="s">
        <v>98</v>
      </c>
      <c r="C535" s="8" t="s">
        <v>210</v>
      </c>
      <c r="D535" s="8">
        <v>148565.09</v>
      </c>
      <c r="E535" s="8" t="b">
        <v>0</v>
      </c>
      <c r="F535" s="8" t="b">
        <v>0</v>
      </c>
      <c r="G535" s="8">
        <v>0</v>
      </c>
      <c r="H535" s="8">
        <v>176846.02</v>
      </c>
      <c r="I535" s="8">
        <v>-28280.93</v>
      </c>
      <c r="J535" s="8" t="b">
        <v>0</v>
      </c>
    </row>
    <row r="536" spans="1:10">
      <c r="A536" s="8" t="s">
        <v>21</v>
      </c>
      <c r="B536" s="8" t="s">
        <v>22</v>
      </c>
      <c r="C536" s="8" t="s">
        <v>207</v>
      </c>
      <c r="D536" s="8">
        <v>199200</v>
      </c>
      <c r="E536" s="8" t="b">
        <v>0</v>
      </c>
      <c r="F536" s="8" t="b">
        <v>0</v>
      </c>
      <c r="G536" s="8">
        <v>4393.5200000000004</v>
      </c>
      <c r="H536" s="8">
        <v>214037.74</v>
      </c>
      <c r="I536" s="8">
        <v>-14837.74</v>
      </c>
      <c r="J536" s="8" t="b">
        <v>0</v>
      </c>
    </row>
    <row r="537" spans="1:10">
      <c r="A537" s="8" t="s">
        <v>199</v>
      </c>
      <c r="B537" s="8" t="s">
        <v>200</v>
      </c>
      <c r="C537" s="8" t="s">
        <v>208</v>
      </c>
      <c r="D537" s="8">
        <v>659618</v>
      </c>
      <c r="E537" s="8" t="b">
        <v>0</v>
      </c>
      <c r="F537" s="8" t="b">
        <v>0</v>
      </c>
      <c r="G537" s="8">
        <v>0</v>
      </c>
      <c r="H537" s="8">
        <v>672597.61</v>
      </c>
      <c r="I537" s="8">
        <v>-12979.61</v>
      </c>
      <c r="J537" s="8" t="b">
        <v>0</v>
      </c>
    </row>
    <row r="538" spans="1:10">
      <c r="A538" s="8" t="s">
        <v>105</v>
      </c>
      <c r="B538" s="8" t="s">
        <v>106</v>
      </c>
      <c r="C538" s="8" t="s">
        <v>211</v>
      </c>
      <c r="D538" s="8">
        <v>27691.919999999998</v>
      </c>
      <c r="E538" s="8" t="b">
        <v>0</v>
      </c>
      <c r="F538" s="8" t="b">
        <v>0</v>
      </c>
      <c r="G538" s="8">
        <v>3518.25</v>
      </c>
      <c r="H538" s="8">
        <v>26338.37</v>
      </c>
      <c r="I538" s="8">
        <v>1353.55</v>
      </c>
      <c r="J538" s="8" t="b">
        <v>0</v>
      </c>
    </row>
    <row r="539" spans="1:10">
      <c r="A539" s="8" t="s">
        <v>123</v>
      </c>
      <c r="B539" s="8" t="s">
        <v>124</v>
      </c>
      <c r="C539" s="8" t="s">
        <v>211</v>
      </c>
      <c r="D539" s="8">
        <v>12846</v>
      </c>
      <c r="E539" s="8" t="b">
        <v>0</v>
      </c>
      <c r="F539" s="8" t="b">
        <v>0</v>
      </c>
      <c r="G539" s="8">
        <v>1758.42</v>
      </c>
      <c r="H539" s="8">
        <v>10991.65</v>
      </c>
      <c r="I539" s="8">
        <v>1854.35</v>
      </c>
      <c r="J539" s="8" t="b">
        <v>0</v>
      </c>
    </row>
    <row r="540" spans="1:10">
      <c r="A540" s="8" t="s">
        <v>153</v>
      </c>
      <c r="B540" s="8" t="s">
        <v>154</v>
      </c>
      <c r="C540" s="8" t="s">
        <v>207</v>
      </c>
      <c r="D540" s="8">
        <v>527379.21</v>
      </c>
      <c r="E540" s="8" t="b">
        <v>0</v>
      </c>
      <c r="F540" s="8" t="b">
        <v>0</v>
      </c>
      <c r="G540" s="8">
        <v>0</v>
      </c>
      <c r="H540" s="8">
        <v>543440.85</v>
      </c>
      <c r="I540" s="8">
        <v>-16061.64</v>
      </c>
      <c r="J540" s="8" t="b">
        <v>0</v>
      </c>
    </row>
    <row r="541" spans="1:10">
      <c r="A541" s="8" t="s">
        <v>189</v>
      </c>
      <c r="B541" s="8" t="s">
        <v>190</v>
      </c>
      <c r="C541" s="8" t="s">
        <v>208</v>
      </c>
      <c r="D541" s="8">
        <v>475451.35</v>
      </c>
      <c r="E541" s="8" t="b">
        <v>0</v>
      </c>
      <c r="F541" s="8" t="b">
        <v>0</v>
      </c>
      <c r="G541" s="8">
        <v>82976.28</v>
      </c>
      <c r="H541" s="8">
        <v>395221.45</v>
      </c>
      <c r="I541" s="8">
        <v>80229.899999999994</v>
      </c>
      <c r="J541" s="8" t="b">
        <v>0</v>
      </c>
    </row>
    <row r="542" spans="1:10">
      <c r="A542" s="8" t="s">
        <v>109</v>
      </c>
      <c r="B542" s="8" t="s">
        <v>110</v>
      </c>
      <c r="C542" s="8" t="s">
        <v>211</v>
      </c>
      <c r="D542" s="8">
        <v>10653.22</v>
      </c>
      <c r="E542" s="8" t="b">
        <v>0</v>
      </c>
      <c r="F542" s="8" t="b">
        <v>0</v>
      </c>
      <c r="G542" s="8">
        <v>0</v>
      </c>
      <c r="H542" s="8">
        <v>9799.9699999999993</v>
      </c>
      <c r="I542" s="8">
        <v>853.25</v>
      </c>
      <c r="J542" s="8" t="b">
        <v>0</v>
      </c>
    </row>
    <row r="543" spans="1:10">
      <c r="A543" s="8" t="s">
        <v>173</v>
      </c>
      <c r="B543" s="8" t="s">
        <v>174</v>
      </c>
      <c r="C543" s="8" t="s">
        <v>209</v>
      </c>
      <c r="D543" s="8">
        <v>31672</v>
      </c>
      <c r="E543" s="8" t="b">
        <v>1</v>
      </c>
      <c r="F543" s="8" t="b">
        <v>0</v>
      </c>
      <c r="G543" s="8">
        <v>3953.42</v>
      </c>
      <c r="H543" s="8">
        <v>27412.31</v>
      </c>
      <c r="I543" s="8">
        <v>4259.6899999999996</v>
      </c>
      <c r="J543" s="8" t="b">
        <v>0</v>
      </c>
    </row>
    <row r="544" spans="1:10">
      <c r="A544" s="8" t="s">
        <v>173</v>
      </c>
      <c r="B544" s="8" t="s">
        <v>174</v>
      </c>
      <c r="C544" s="8" t="s">
        <v>210</v>
      </c>
      <c r="D544" s="8">
        <v>71262</v>
      </c>
      <c r="E544" s="8" t="b">
        <v>0</v>
      </c>
      <c r="F544" s="8" t="b">
        <v>0</v>
      </c>
      <c r="G544" s="8">
        <v>14933.34</v>
      </c>
      <c r="H544" s="8">
        <v>60207.48</v>
      </c>
      <c r="I544" s="8">
        <v>11054.52</v>
      </c>
      <c r="J544" s="8" t="b">
        <v>0</v>
      </c>
    </row>
    <row r="545" spans="1:10">
      <c r="A545" s="8" t="s">
        <v>177</v>
      </c>
      <c r="B545" s="8" t="s">
        <v>178</v>
      </c>
      <c r="C545" s="8" t="s">
        <v>211</v>
      </c>
      <c r="D545" s="8">
        <v>41443.97</v>
      </c>
      <c r="E545" s="8" t="b">
        <v>0</v>
      </c>
      <c r="F545" s="8" t="b">
        <v>0</v>
      </c>
      <c r="G545" s="8">
        <v>2949.24</v>
      </c>
      <c r="H545" s="8">
        <v>36525.39</v>
      </c>
      <c r="I545" s="8">
        <v>4918.58</v>
      </c>
      <c r="J545" s="8" t="b">
        <v>0</v>
      </c>
    </row>
    <row r="546" spans="1:10">
      <c r="A546" s="8" t="s">
        <v>133</v>
      </c>
      <c r="B546" s="8" t="s">
        <v>134</v>
      </c>
      <c r="C546" s="8" t="s">
        <v>208</v>
      </c>
      <c r="D546" s="8">
        <v>420976.33</v>
      </c>
      <c r="E546" s="8" t="b">
        <v>0</v>
      </c>
      <c r="F546" s="8" t="b">
        <v>0</v>
      </c>
      <c r="G546" s="8">
        <v>34568.67</v>
      </c>
      <c r="H546" s="8">
        <v>388991.64</v>
      </c>
      <c r="I546" s="8">
        <v>31984.69</v>
      </c>
      <c r="J546" s="8" t="b">
        <v>0</v>
      </c>
    </row>
    <row r="547" spans="1:10">
      <c r="A547" s="8" t="s">
        <v>145</v>
      </c>
      <c r="B547" s="8" t="s">
        <v>146</v>
      </c>
      <c r="C547" s="8" t="s">
        <v>209</v>
      </c>
      <c r="D547" s="8">
        <v>29321.89</v>
      </c>
      <c r="E547" s="8" t="b">
        <v>0</v>
      </c>
      <c r="F547" s="8" t="b">
        <v>0</v>
      </c>
      <c r="G547" s="8">
        <v>6012.69</v>
      </c>
      <c r="H547" s="8">
        <v>23791.03</v>
      </c>
      <c r="I547" s="8">
        <v>5530.86</v>
      </c>
      <c r="J547" s="8" t="b">
        <v>0</v>
      </c>
    </row>
    <row r="548" spans="1:10">
      <c r="A548" s="8" t="s">
        <v>63</v>
      </c>
      <c r="B548" s="8" t="s">
        <v>64</v>
      </c>
      <c r="C548" s="8" t="s">
        <v>212</v>
      </c>
      <c r="D548" s="8">
        <v>25374.78</v>
      </c>
      <c r="E548" s="8" t="b">
        <v>0</v>
      </c>
      <c r="F548" s="8" t="b">
        <v>0</v>
      </c>
      <c r="G548" s="8">
        <v>0</v>
      </c>
      <c r="H548" s="8">
        <v>25783.64</v>
      </c>
      <c r="I548" s="8">
        <v>-408.86</v>
      </c>
      <c r="J548" s="8" t="b">
        <v>0</v>
      </c>
    </row>
    <row r="549" spans="1:10">
      <c r="A549" s="8" t="s">
        <v>147</v>
      </c>
      <c r="B549" s="8" t="s">
        <v>148</v>
      </c>
      <c r="C549" s="8" t="s">
        <v>211</v>
      </c>
      <c r="D549" s="8">
        <v>20734.22</v>
      </c>
      <c r="E549" s="8" t="b">
        <v>0</v>
      </c>
      <c r="F549" s="8" t="b">
        <v>0</v>
      </c>
      <c r="G549" s="8">
        <v>1917.09</v>
      </c>
      <c r="H549" s="8">
        <v>20794.189999999999</v>
      </c>
      <c r="I549" s="8">
        <v>-59.97</v>
      </c>
      <c r="J549" s="8" t="b">
        <v>0</v>
      </c>
    </row>
    <row r="550" spans="1:10">
      <c r="A550" s="8" t="s">
        <v>161</v>
      </c>
      <c r="B550" s="8" t="s">
        <v>162</v>
      </c>
      <c r="C550" s="8" t="s">
        <v>209</v>
      </c>
      <c r="D550" s="8">
        <v>40300.93</v>
      </c>
      <c r="E550" s="8" t="b">
        <v>0</v>
      </c>
      <c r="F550" s="8" t="b">
        <v>0</v>
      </c>
      <c r="G550" s="8">
        <v>8784.44</v>
      </c>
      <c r="H550" s="8">
        <v>32620.67</v>
      </c>
      <c r="I550" s="8">
        <v>7680.26</v>
      </c>
      <c r="J550" s="8" t="b">
        <v>0</v>
      </c>
    </row>
    <row r="551" spans="1:10">
      <c r="A551" s="8" t="s">
        <v>161</v>
      </c>
      <c r="B551" s="8" t="s">
        <v>162</v>
      </c>
      <c r="C551" s="8" t="s">
        <v>210</v>
      </c>
      <c r="D551" s="8">
        <v>70173.88</v>
      </c>
      <c r="E551" s="8" t="b">
        <v>0</v>
      </c>
      <c r="F551" s="8" t="b">
        <v>0</v>
      </c>
      <c r="G551" s="8">
        <v>20316.400000000001</v>
      </c>
      <c r="H551" s="8">
        <v>60422.85</v>
      </c>
      <c r="I551" s="8">
        <v>9751.0300000000007</v>
      </c>
      <c r="J551" s="8" t="b">
        <v>0</v>
      </c>
    </row>
    <row r="552" spans="1:10">
      <c r="A552" s="8" t="s">
        <v>163</v>
      </c>
      <c r="B552" s="8" t="s">
        <v>164</v>
      </c>
      <c r="C552" s="8" t="s">
        <v>209</v>
      </c>
      <c r="D552" s="8">
        <v>94315</v>
      </c>
      <c r="E552" s="8" t="b">
        <v>0</v>
      </c>
      <c r="F552" s="8" t="b">
        <v>0</v>
      </c>
      <c r="G552" s="8">
        <v>3419.56</v>
      </c>
      <c r="H552" s="8">
        <v>102875.54</v>
      </c>
      <c r="I552" s="8">
        <v>-8560.5400000000009</v>
      </c>
      <c r="J552" s="8" t="b">
        <v>0</v>
      </c>
    </row>
    <row r="553" spans="1:10">
      <c r="A553" s="8" t="s">
        <v>163</v>
      </c>
      <c r="B553" s="8" t="s">
        <v>164</v>
      </c>
      <c r="C553" s="8" t="s">
        <v>210</v>
      </c>
      <c r="D553" s="8">
        <v>132041</v>
      </c>
      <c r="E553" s="8" t="b">
        <v>0</v>
      </c>
      <c r="F553" s="8" t="b">
        <v>0</v>
      </c>
      <c r="G553" s="8">
        <v>12916.81</v>
      </c>
      <c r="H553" s="8">
        <v>134119.73000000001</v>
      </c>
      <c r="I553" s="8">
        <v>-2078.73</v>
      </c>
      <c r="J553" s="8" t="b">
        <v>0</v>
      </c>
    </row>
    <row r="554" spans="1:10">
      <c r="A554" s="8" t="s">
        <v>51</v>
      </c>
      <c r="B554" s="8" t="s">
        <v>52</v>
      </c>
      <c r="C554" s="8" t="s">
        <v>208</v>
      </c>
      <c r="D554" s="8">
        <v>338104.94</v>
      </c>
      <c r="E554" s="8" t="b">
        <v>0</v>
      </c>
      <c r="F554" s="8" t="b">
        <v>0</v>
      </c>
      <c r="G554" s="8">
        <v>38915.35</v>
      </c>
      <c r="H554" s="8">
        <v>249809.78</v>
      </c>
      <c r="I554" s="8">
        <v>88295.16</v>
      </c>
      <c r="J554" s="8" t="b">
        <v>0</v>
      </c>
    </row>
    <row r="555" spans="1:10">
      <c r="A555" s="8" t="s">
        <v>179</v>
      </c>
      <c r="B555" s="8" t="s">
        <v>180</v>
      </c>
      <c r="C555" s="8" t="s">
        <v>212</v>
      </c>
      <c r="D555" s="8">
        <v>51072</v>
      </c>
      <c r="E555" s="8" t="b">
        <v>0</v>
      </c>
      <c r="F555" s="8" t="b">
        <v>0</v>
      </c>
      <c r="G555" s="8">
        <v>9321.07</v>
      </c>
      <c r="H555" s="8">
        <v>35350.49</v>
      </c>
      <c r="I555" s="8">
        <v>15721.51</v>
      </c>
      <c r="J555" s="8" t="b">
        <v>0</v>
      </c>
    </row>
    <row r="556" spans="1:10">
      <c r="A556" s="8" t="s">
        <v>95</v>
      </c>
      <c r="B556" s="8" t="s">
        <v>96</v>
      </c>
      <c r="C556" s="8" t="s">
        <v>212</v>
      </c>
      <c r="D556" s="8">
        <v>27623.15</v>
      </c>
      <c r="E556" s="8" t="b">
        <v>0</v>
      </c>
      <c r="F556" s="8" t="b">
        <v>0</v>
      </c>
      <c r="G556" s="8">
        <v>0</v>
      </c>
      <c r="H556" s="8">
        <v>24765.73</v>
      </c>
      <c r="I556" s="8">
        <v>2857.42</v>
      </c>
      <c r="J556" s="8" t="b">
        <v>0</v>
      </c>
    </row>
    <row r="557" spans="1:10">
      <c r="A557" s="8" t="s">
        <v>135</v>
      </c>
      <c r="B557" s="8" t="s">
        <v>136</v>
      </c>
      <c r="C557" s="8" t="s">
        <v>209</v>
      </c>
      <c r="D557" s="8">
        <v>40495.32</v>
      </c>
      <c r="E557" s="8" t="b">
        <v>0</v>
      </c>
      <c r="F557" s="8" t="b">
        <v>0</v>
      </c>
      <c r="G557" s="8">
        <v>4050.71</v>
      </c>
      <c r="H557" s="8">
        <v>35756.93</v>
      </c>
      <c r="I557" s="8">
        <v>4738.3900000000003</v>
      </c>
      <c r="J557" s="8" t="b">
        <v>0</v>
      </c>
    </row>
    <row r="558" spans="1:10">
      <c r="A558" s="8" t="s">
        <v>135</v>
      </c>
      <c r="B558" s="8" t="s">
        <v>136</v>
      </c>
      <c r="C558" s="8" t="s">
        <v>210</v>
      </c>
      <c r="D558" s="8">
        <v>64821.87</v>
      </c>
      <c r="E558" s="8" t="b">
        <v>0</v>
      </c>
      <c r="F558" s="8" t="b">
        <v>0</v>
      </c>
      <c r="G558" s="8">
        <v>0</v>
      </c>
      <c r="H558" s="8">
        <v>64622.54</v>
      </c>
      <c r="I558" s="8">
        <v>199.33</v>
      </c>
      <c r="J558" s="8" t="b">
        <v>0</v>
      </c>
    </row>
    <row r="559" spans="1:10">
      <c r="A559" s="8" t="s">
        <v>15</v>
      </c>
      <c r="B559" s="8" t="s">
        <v>16</v>
      </c>
      <c r="C559" s="8" t="s">
        <v>207</v>
      </c>
      <c r="D559" s="8">
        <v>235801.39</v>
      </c>
      <c r="E559" s="8" t="b">
        <v>0</v>
      </c>
      <c r="F559" s="8" t="b">
        <v>0</v>
      </c>
      <c r="G559" s="8">
        <v>7550.08</v>
      </c>
      <c r="H559" s="8">
        <v>224161.34</v>
      </c>
      <c r="I559" s="8">
        <v>11640.05</v>
      </c>
      <c r="J559" s="8" t="b">
        <v>0</v>
      </c>
    </row>
    <row r="560" spans="1:10">
      <c r="A560" s="8" t="s">
        <v>167</v>
      </c>
      <c r="B560" s="8" t="s">
        <v>168</v>
      </c>
      <c r="C560" s="8" t="s">
        <v>212</v>
      </c>
      <c r="D560" s="8">
        <v>141342.68</v>
      </c>
      <c r="E560" s="8" t="b">
        <v>0</v>
      </c>
      <c r="F560" s="8" t="b">
        <v>0</v>
      </c>
      <c r="G560" s="8">
        <v>11073.09</v>
      </c>
      <c r="H560" s="8">
        <v>139328.23000000001</v>
      </c>
      <c r="I560" s="8">
        <v>2014.45</v>
      </c>
      <c r="J560" s="8" t="b">
        <v>0</v>
      </c>
    </row>
    <row r="561" spans="1:10">
      <c r="A561" s="8" t="s">
        <v>23</v>
      </c>
      <c r="B561" s="8" t="s">
        <v>24</v>
      </c>
      <c r="C561" s="8" t="s">
        <v>207</v>
      </c>
      <c r="D561" s="8">
        <v>620872</v>
      </c>
      <c r="E561" s="8" t="b">
        <v>0</v>
      </c>
      <c r="F561" s="8" t="b">
        <v>0</v>
      </c>
      <c r="G561" s="8">
        <v>135931.9</v>
      </c>
      <c r="H561" s="8">
        <v>598047.73</v>
      </c>
      <c r="I561" s="8">
        <v>22824.27</v>
      </c>
      <c r="J561" s="8" t="b">
        <v>0</v>
      </c>
    </row>
    <row r="562" spans="1:10">
      <c r="A562" s="8" t="s">
        <v>157</v>
      </c>
      <c r="B562" s="8" t="s">
        <v>158</v>
      </c>
      <c r="C562" s="8" t="s">
        <v>207</v>
      </c>
      <c r="D562" s="8">
        <v>302601.78999999998</v>
      </c>
      <c r="E562" s="8" t="b">
        <v>0</v>
      </c>
      <c r="F562" s="8" t="b">
        <v>0</v>
      </c>
      <c r="G562" s="8">
        <v>98092.18</v>
      </c>
      <c r="H562" s="8">
        <v>219863.72</v>
      </c>
      <c r="I562" s="8">
        <v>82738.070000000007</v>
      </c>
      <c r="J562" s="8" t="b">
        <v>0</v>
      </c>
    </row>
    <row r="563" spans="1:10">
      <c r="A563" s="8" t="s">
        <v>103</v>
      </c>
      <c r="B563" s="8" t="s">
        <v>104</v>
      </c>
      <c r="C563" s="8" t="s">
        <v>211</v>
      </c>
      <c r="D563" s="8">
        <v>6957.72</v>
      </c>
      <c r="E563" s="8" t="b">
        <v>0</v>
      </c>
      <c r="F563" s="8" t="b">
        <v>0</v>
      </c>
      <c r="G563" s="8">
        <v>0</v>
      </c>
      <c r="H563" s="8">
        <v>6354.38</v>
      </c>
      <c r="I563" s="8">
        <v>603.34</v>
      </c>
      <c r="J563" s="8" t="b">
        <v>0</v>
      </c>
    </row>
    <row r="564" spans="1:10">
      <c r="A564" s="8" t="s">
        <v>187</v>
      </c>
      <c r="B564" s="8" t="s">
        <v>188</v>
      </c>
      <c r="C564" s="8" t="s">
        <v>207</v>
      </c>
      <c r="D564" s="8">
        <v>294000</v>
      </c>
      <c r="E564" s="8" t="b">
        <v>0</v>
      </c>
      <c r="F564" s="8" t="b">
        <v>0</v>
      </c>
      <c r="G564" s="8">
        <v>6654.55</v>
      </c>
      <c r="H564" s="8">
        <v>283651.95</v>
      </c>
      <c r="I564" s="8">
        <v>10348.049999999999</v>
      </c>
      <c r="J564" s="8" t="b">
        <v>0</v>
      </c>
    </row>
    <row r="565" spans="1:10">
      <c r="A565" s="8" t="s">
        <v>145</v>
      </c>
      <c r="B565" s="8" t="s">
        <v>146</v>
      </c>
      <c r="C565" s="8" t="s">
        <v>210</v>
      </c>
      <c r="D565" s="8">
        <v>46951.15</v>
      </c>
      <c r="E565" s="8" t="b">
        <v>0</v>
      </c>
      <c r="F565" s="8" t="b">
        <v>0</v>
      </c>
      <c r="G565" s="8">
        <v>2241.84</v>
      </c>
      <c r="H565" s="8">
        <v>45348.15</v>
      </c>
      <c r="I565" s="8">
        <v>1603</v>
      </c>
      <c r="J565" s="8" t="b">
        <v>0</v>
      </c>
    </row>
    <row r="566" spans="1:10">
      <c r="A566" s="8" t="s">
        <v>165</v>
      </c>
      <c r="B566" s="8" t="s">
        <v>166</v>
      </c>
      <c r="C566" s="8" t="s">
        <v>212</v>
      </c>
      <c r="D566" s="8">
        <v>16076</v>
      </c>
      <c r="E566" s="8" t="b">
        <v>0</v>
      </c>
      <c r="F566" s="8" t="b">
        <v>0</v>
      </c>
      <c r="G566" s="8">
        <v>958.99</v>
      </c>
      <c r="H566" s="8">
        <v>8825.4</v>
      </c>
      <c r="I566" s="8">
        <v>7250.6</v>
      </c>
      <c r="J566" s="8" t="b">
        <v>0</v>
      </c>
    </row>
    <row r="567" spans="1:10">
      <c r="A567" s="8" t="s">
        <v>193</v>
      </c>
      <c r="B567" s="8" t="s">
        <v>194</v>
      </c>
      <c r="C567" s="8" t="s">
        <v>212</v>
      </c>
      <c r="D567" s="8">
        <v>28055.89</v>
      </c>
      <c r="E567" s="8" t="b">
        <v>0</v>
      </c>
      <c r="F567" s="8" t="b">
        <v>0</v>
      </c>
      <c r="G567" s="8">
        <v>3528.69</v>
      </c>
      <c r="H567" s="8">
        <v>18916.3</v>
      </c>
      <c r="I567" s="8">
        <v>9139.59</v>
      </c>
      <c r="J567" s="8" t="b">
        <v>0</v>
      </c>
    </row>
    <row r="568" spans="1:10">
      <c r="A568" s="8" t="s">
        <v>91</v>
      </c>
      <c r="B568" s="8" t="s">
        <v>92</v>
      </c>
      <c r="C568" s="8" t="s">
        <v>212</v>
      </c>
      <c r="D568" s="8">
        <v>143682.44</v>
      </c>
      <c r="E568" s="8" t="b">
        <v>0</v>
      </c>
      <c r="F568" s="8" t="b">
        <v>0</v>
      </c>
      <c r="G568" s="8">
        <v>36895.910000000003</v>
      </c>
      <c r="H568" s="8">
        <v>128812.06</v>
      </c>
      <c r="I568" s="8">
        <v>14870.38</v>
      </c>
      <c r="J568" s="8" t="b">
        <v>0</v>
      </c>
    </row>
    <row r="569" spans="1:10">
      <c r="A569" s="8" t="s">
        <v>167</v>
      </c>
      <c r="B569" s="8" t="s">
        <v>168</v>
      </c>
      <c r="C569" s="8" t="s">
        <v>207</v>
      </c>
      <c r="D569" s="8">
        <v>700066.95</v>
      </c>
      <c r="E569" s="8" t="b">
        <v>0</v>
      </c>
      <c r="F569" s="8" t="b">
        <v>0</v>
      </c>
      <c r="G569" s="8">
        <v>46433</v>
      </c>
      <c r="H569" s="8">
        <v>760489.66</v>
      </c>
      <c r="I569" s="8">
        <v>-60422.71</v>
      </c>
      <c r="J569" s="8" t="b">
        <v>0</v>
      </c>
    </row>
    <row r="570" spans="1:10">
      <c r="A570" s="8" t="s">
        <v>25</v>
      </c>
      <c r="B570" s="8" t="s">
        <v>26</v>
      </c>
      <c r="C570" s="8" t="s">
        <v>209</v>
      </c>
      <c r="D570" s="8">
        <v>22591.29</v>
      </c>
      <c r="E570" s="8" t="b">
        <v>0</v>
      </c>
      <c r="F570" s="8" t="b">
        <v>0</v>
      </c>
      <c r="G570" s="8">
        <v>2874.92</v>
      </c>
      <c r="H570" s="8">
        <v>19589.580000000002</v>
      </c>
      <c r="I570" s="8">
        <v>3001.71</v>
      </c>
      <c r="J570" s="8" t="b">
        <v>0</v>
      </c>
    </row>
    <row r="571" spans="1:10">
      <c r="A571" s="8" t="s">
        <v>157</v>
      </c>
      <c r="B571" s="8" t="s">
        <v>158</v>
      </c>
      <c r="C571" s="8" t="s">
        <v>212</v>
      </c>
      <c r="D571" s="8">
        <v>46410.05</v>
      </c>
      <c r="E571" s="8" t="b">
        <v>0</v>
      </c>
      <c r="F571" s="8" t="b">
        <v>0</v>
      </c>
      <c r="G571" s="8">
        <v>3835.82</v>
      </c>
      <c r="H571" s="8">
        <v>46513.85</v>
      </c>
      <c r="I571" s="8">
        <v>-103.8</v>
      </c>
      <c r="J571" s="8" t="b">
        <v>0</v>
      </c>
    </row>
    <row r="572" spans="1:10">
      <c r="A572" s="8" t="s">
        <v>29</v>
      </c>
      <c r="B572" s="8" t="s">
        <v>30</v>
      </c>
      <c r="C572" s="8" t="s">
        <v>210</v>
      </c>
      <c r="D572" s="8">
        <v>209540.68</v>
      </c>
      <c r="E572" s="8" t="b">
        <v>0</v>
      </c>
      <c r="F572" s="8" t="b">
        <v>0</v>
      </c>
      <c r="G572" s="8">
        <v>19374.689999999999</v>
      </c>
      <c r="H572" s="8">
        <v>202176.68</v>
      </c>
      <c r="I572" s="8">
        <v>7364</v>
      </c>
      <c r="J572" s="8" t="b">
        <v>0</v>
      </c>
    </row>
    <row r="573" spans="1:10">
      <c r="A573" s="8" t="s">
        <v>103</v>
      </c>
      <c r="B573" s="8" t="s">
        <v>104</v>
      </c>
      <c r="C573" s="8" t="s">
        <v>208</v>
      </c>
      <c r="D573" s="8">
        <v>65979.14</v>
      </c>
      <c r="E573" s="8" t="b">
        <v>0</v>
      </c>
      <c r="F573" s="8" t="b">
        <v>0</v>
      </c>
      <c r="G573" s="8">
        <v>0</v>
      </c>
      <c r="H573" s="8">
        <v>66740.960000000006</v>
      </c>
      <c r="I573" s="8">
        <v>-761.82</v>
      </c>
      <c r="J573" s="8" t="b">
        <v>0</v>
      </c>
    </row>
    <row r="574" spans="1:10">
      <c r="A574" s="8" t="s">
        <v>73</v>
      </c>
      <c r="B574" s="8" t="s">
        <v>74</v>
      </c>
      <c r="C574" s="8" t="s">
        <v>209</v>
      </c>
      <c r="D574" s="8">
        <v>34290.46</v>
      </c>
      <c r="E574" s="8" t="b">
        <v>0</v>
      </c>
      <c r="F574" s="8" t="b">
        <v>0</v>
      </c>
      <c r="G574" s="8">
        <v>0</v>
      </c>
      <c r="H574" s="8">
        <v>37343.47</v>
      </c>
      <c r="I574" s="8">
        <v>-3053.01</v>
      </c>
      <c r="J574" s="8" t="b">
        <v>0</v>
      </c>
    </row>
    <row r="575" spans="1:10">
      <c r="A575" s="8" t="s">
        <v>79</v>
      </c>
      <c r="B575" s="8" t="s">
        <v>80</v>
      </c>
      <c r="C575" s="8" t="s">
        <v>210</v>
      </c>
      <c r="D575" s="8">
        <v>42480</v>
      </c>
      <c r="E575" s="8" t="b">
        <v>0</v>
      </c>
      <c r="F575" s="8" t="b">
        <v>0</v>
      </c>
      <c r="G575" s="8">
        <v>2868.51</v>
      </c>
      <c r="H575" s="8">
        <v>44963.17</v>
      </c>
      <c r="I575" s="8">
        <v>-2483.17</v>
      </c>
      <c r="J575" s="8" t="b">
        <v>0</v>
      </c>
    </row>
    <row r="576" spans="1:10">
      <c r="A576" s="8" t="s">
        <v>27</v>
      </c>
      <c r="B576" s="8" t="s">
        <v>28</v>
      </c>
      <c r="C576" s="8" t="s">
        <v>210</v>
      </c>
      <c r="D576" s="8">
        <v>76545</v>
      </c>
      <c r="E576" s="8" t="b">
        <v>0</v>
      </c>
      <c r="F576" s="8" t="b">
        <v>0</v>
      </c>
      <c r="G576" s="8">
        <v>0</v>
      </c>
      <c r="H576" s="8">
        <v>80705.7</v>
      </c>
      <c r="I576" s="8">
        <v>-4160.7</v>
      </c>
      <c r="J576" s="8" t="b">
        <v>0</v>
      </c>
    </row>
    <row r="577" spans="1:10">
      <c r="A577" s="8" t="s">
        <v>199</v>
      </c>
      <c r="B577" s="8" t="s">
        <v>200</v>
      </c>
      <c r="C577" s="8" t="s">
        <v>211</v>
      </c>
      <c r="D577" s="8">
        <v>63834</v>
      </c>
      <c r="E577" s="8" t="b">
        <v>0</v>
      </c>
      <c r="F577" s="8" t="b">
        <v>0</v>
      </c>
      <c r="G577" s="8">
        <v>6209.37</v>
      </c>
      <c r="H577" s="8">
        <v>59114.79</v>
      </c>
      <c r="I577" s="8">
        <v>4719.21</v>
      </c>
      <c r="J577" s="8" t="b">
        <v>0</v>
      </c>
    </row>
    <row r="578" spans="1:10">
      <c r="A578" s="8" t="s">
        <v>119</v>
      </c>
      <c r="B578" s="8" t="s">
        <v>120</v>
      </c>
      <c r="C578" s="8" t="s">
        <v>209</v>
      </c>
      <c r="D578" s="8">
        <v>59449.02</v>
      </c>
      <c r="E578" s="8" t="b">
        <v>0</v>
      </c>
      <c r="F578" s="8" t="b">
        <v>0</v>
      </c>
      <c r="G578" s="8">
        <v>7055.42</v>
      </c>
      <c r="H578" s="8">
        <v>51902.76</v>
      </c>
      <c r="I578" s="8">
        <v>7546.26</v>
      </c>
      <c r="J578" s="8" t="b">
        <v>0</v>
      </c>
    </row>
    <row r="579" spans="1:10">
      <c r="A579" s="8" t="s">
        <v>119</v>
      </c>
      <c r="B579" s="8" t="s">
        <v>120</v>
      </c>
      <c r="C579" s="8" t="s">
        <v>210</v>
      </c>
      <c r="D579" s="8">
        <v>103913.7</v>
      </c>
      <c r="E579" s="8" t="b">
        <v>0</v>
      </c>
      <c r="F579" s="8" t="b">
        <v>0</v>
      </c>
      <c r="G579" s="8">
        <v>6223.48</v>
      </c>
      <c r="H579" s="8">
        <v>103305.21</v>
      </c>
      <c r="I579" s="8">
        <v>608.49</v>
      </c>
      <c r="J579" s="8" t="b">
        <v>0</v>
      </c>
    </row>
    <row r="580" spans="1:10">
      <c r="A580" s="8" t="s">
        <v>105</v>
      </c>
      <c r="B580" s="8" t="s">
        <v>106</v>
      </c>
      <c r="C580" s="8" t="s">
        <v>208</v>
      </c>
      <c r="D580" s="8">
        <v>287267.27</v>
      </c>
      <c r="E580" s="8" t="b">
        <v>0</v>
      </c>
      <c r="F580" s="8" t="b">
        <v>0</v>
      </c>
      <c r="G580" s="8">
        <v>32516.26</v>
      </c>
      <c r="H580" s="8">
        <v>264471.82</v>
      </c>
      <c r="I580" s="8">
        <v>22795.45</v>
      </c>
      <c r="J580" s="8" t="b">
        <v>0</v>
      </c>
    </row>
    <row r="581" spans="1:10">
      <c r="A581" s="8" t="s">
        <v>81</v>
      </c>
      <c r="B581" s="8" t="s">
        <v>82</v>
      </c>
      <c r="C581" s="8" t="s">
        <v>209</v>
      </c>
      <c r="D581" s="8">
        <v>18416</v>
      </c>
      <c r="E581" s="8" t="b">
        <v>0</v>
      </c>
      <c r="F581" s="8" t="b">
        <v>0</v>
      </c>
      <c r="G581" s="8">
        <v>3126.88</v>
      </c>
      <c r="H581" s="8">
        <v>15999.41</v>
      </c>
      <c r="I581" s="8">
        <v>2416.59</v>
      </c>
      <c r="J581" s="8" t="b">
        <v>0</v>
      </c>
    </row>
    <row r="582" spans="1:10">
      <c r="A582" s="8" t="s">
        <v>187</v>
      </c>
      <c r="B582" s="8" t="s">
        <v>188</v>
      </c>
      <c r="C582" s="8" t="s">
        <v>212</v>
      </c>
      <c r="D582" s="8">
        <v>47040</v>
      </c>
      <c r="E582" s="8" t="b">
        <v>0</v>
      </c>
      <c r="F582" s="8" t="b">
        <v>0</v>
      </c>
      <c r="G582" s="8">
        <v>2010.9</v>
      </c>
      <c r="H582" s="8">
        <v>41489.67</v>
      </c>
      <c r="I582" s="8">
        <v>5550.33</v>
      </c>
      <c r="J582" s="8" t="b">
        <v>0</v>
      </c>
    </row>
    <row r="583" spans="1:10">
      <c r="A583" s="8" t="s">
        <v>61</v>
      </c>
      <c r="B583" s="8" t="s">
        <v>62</v>
      </c>
      <c r="C583" s="8" t="s">
        <v>209</v>
      </c>
      <c r="D583" s="8">
        <v>52662.71</v>
      </c>
      <c r="E583" s="8" t="b">
        <v>0</v>
      </c>
      <c r="F583" s="8" t="b">
        <v>0</v>
      </c>
      <c r="G583" s="8">
        <v>9989.94</v>
      </c>
      <c r="H583" s="8">
        <v>45687</v>
      </c>
      <c r="I583" s="8">
        <v>6975.71</v>
      </c>
      <c r="J583" s="8" t="b">
        <v>0</v>
      </c>
    </row>
    <row r="584" spans="1:10">
      <c r="A584" s="8" t="s">
        <v>61</v>
      </c>
      <c r="B584" s="8" t="s">
        <v>62</v>
      </c>
      <c r="C584" s="8" t="s">
        <v>210</v>
      </c>
      <c r="D584" s="8">
        <v>84189.85</v>
      </c>
      <c r="E584" s="8" t="b">
        <v>0</v>
      </c>
      <c r="F584" s="8" t="b">
        <v>0</v>
      </c>
      <c r="G584" s="8">
        <v>20668.07</v>
      </c>
      <c r="H584" s="8">
        <v>79995.360000000001</v>
      </c>
      <c r="I584" s="8">
        <v>4194.49</v>
      </c>
      <c r="J584" s="8" t="b">
        <v>0</v>
      </c>
    </row>
    <row r="585" spans="1:10">
      <c r="A585" s="8" t="s">
        <v>123</v>
      </c>
      <c r="B585" s="8" t="s">
        <v>124</v>
      </c>
      <c r="C585" s="8" t="s">
        <v>208</v>
      </c>
      <c r="D585" s="8">
        <v>119896</v>
      </c>
      <c r="E585" s="8" t="b">
        <v>0</v>
      </c>
      <c r="F585" s="8" t="b">
        <v>0</v>
      </c>
      <c r="G585" s="8">
        <v>0</v>
      </c>
      <c r="H585" s="8">
        <v>122322.65</v>
      </c>
      <c r="I585" s="8">
        <v>-2426.65</v>
      </c>
      <c r="J585" s="8" t="b">
        <v>0</v>
      </c>
    </row>
    <row r="586" spans="1:10">
      <c r="A586" s="8" t="s">
        <v>189</v>
      </c>
      <c r="B586" s="8" t="s">
        <v>190</v>
      </c>
      <c r="C586" s="8" t="s">
        <v>211</v>
      </c>
      <c r="D586" s="8">
        <v>46302.65</v>
      </c>
      <c r="E586" s="8" t="b">
        <v>0</v>
      </c>
      <c r="F586" s="8" t="b">
        <v>0</v>
      </c>
      <c r="G586" s="8">
        <v>5777.64</v>
      </c>
      <c r="H586" s="8">
        <v>43379.23</v>
      </c>
      <c r="I586" s="8">
        <v>2923.42</v>
      </c>
      <c r="J586" s="8" t="b">
        <v>0</v>
      </c>
    </row>
    <row r="587" spans="1:10">
      <c r="A587" s="8" t="s">
        <v>109</v>
      </c>
      <c r="B587" s="8" t="s">
        <v>110</v>
      </c>
      <c r="C587" s="8" t="s">
        <v>208</v>
      </c>
      <c r="D587" s="8">
        <v>100406.04</v>
      </c>
      <c r="E587" s="8" t="b">
        <v>0</v>
      </c>
      <c r="F587" s="8" t="b">
        <v>0</v>
      </c>
      <c r="G587" s="8">
        <v>4604.4799999999996</v>
      </c>
      <c r="H587" s="8">
        <v>94329.919999999998</v>
      </c>
      <c r="I587" s="8">
        <v>6076.12</v>
      </c>
      <c r="J587" s="8" t="b">
        <v>0</v>
      </c>
    </row>
    <row r="588" spans="1:10">
      <c r="A588" s="8" t="s">
        <v>177</v>
      </c>
      <c r="B588" s="8" t="s">
        <v>178</v>
      </c>
      <c r="C588" s="8" t="s">
        <v>208</v>
      </c>
      <c r="D588" s="8">
        <v>377311.08</v>
      </c>
      <c r="E588" s="8" t="b">
        <v>0</v>
      </c>
      <c r="F588" s="8" t="b">
        <v>0</v>
      </c>
      <c r="G588" s="8">
        <v>65196.49</v>
      </c>
      <c r="H588" s="8">
        <v>321501.08</v>
      </c>
      <c r="I588" s="8">
        <v>55810</v>
      </c>
      <c r="J588" s="8" t="b">
        <v>0</v>
      </c>
    </row>
    <row r="589" spans="1:10">
      <c r="A589" s="8" t="s">
        <v>63</v>
      </c>
      <c r="B589" s="8" t="s">
        <v>64</v>
      </c>
      <c r="C589" s="8" t="s">
        <v>207</v>
      </c>
      <c r="D589" s="8">
        <v>276604.53000000003</v>
      </c>
      <c r="E589" s="8" t="b">
        <v>0</v>
      </c>
      <c r="F589" s="8" t="b">
        <v>0</v>
      </c>
      <c r="G589" s="8">
        <v>0</v>
      </c>
      <c r="H589" s="8">
        <v>295611.99</v>
      </c>
      <c r="I589" s="8">
        <v>-19007.46</v>
      </c>
      <c r="J589" s="8" t="b">
        <v>0</v>
      </c>
    </row>
    <row r="590" spans="1:10">
      <c r="A590" s="8" t="s">
        <v>147</v>
      </c>
      <c r="B590" s="8" t="s">
        <v>148</v>
      </c>
      <c r="C590" s="8" t="s">
        <v>208</v>
      </c>
      <c r="D590" s="8">
        <v>212328.92</v>
      </c>
      <c r="E590" s="8" t="b">
        <v>0</v>
      </c>
      <c r="F590" s="8" t="b">
        <v>0</v>
      </c>
      <c r="G590" s="8">
        <v>16994.84</v>
      </c>
      <c r="H590" s="8">
        <v>217809.97</v>
      </c>
      <c r="I590" s="8">
        <v>-5481.05</v>
      </c>
      <c r="J590" s="8" t="b">
        <v>0</v>
      </c>
    </row>
    <row r="591" spans="1:10">
      <c r="A591" s="8" t="s">
        <v>51</v>
      </c>
      <c r="B591" s="8" t="s">
        <v>52</v>
      </c>
      <c r="C591" s="8" t="s">
        <v>211</v>
      </c>
      <c r="D591" s="8">
        <v>32397.8</v>
      </c>
      <c r="E591" s="8" t="b">
        <v>0</v>
      </c>
      <c r="F591" s="8" t="b">
        <v>0</v>
      </c>
      <c r="G591" s="8">
        <v>3090.84</v>
      </c>
      <c r="H591" s="8">
        <v>25384.98</v>
      </c>
      <c r="I591" s="8">
        <v>7012.82</v>
      </c>
      <c r="J591" s="8" t="b">
        <v>0</v>
      </c>
    </row>
    <row r="592" spans="1:10">
      <c r="A592" s="8" t="s">
        <v>165</v>
      </c>
      <c r="B592" s="8" t="s">
        <v>166</v>
      </c>
      <c r="C592" s="8" t="s">
        <v>207</v>
      </c>
      <c r="D592" s="8">
        <v>100475</v>
      </c>
      <c r="E592" s="8" t="b">
        <v>0</v>
      </c>
      <c r="F592" s="8" t="b">
        <v>0</v>
      </c>
      <c r="G592" s="8">
        <v>2606.62</v>
      </c>
      <c r="H592" s="8">
        <v>62992.08</v>
      </c>
      <c r="I592" s="8">
        <v>37482.92</v>
      </c>
      <c r="J592" s="8" t="b">
        <v>0</v>
      </c>
    </row>
    <row r="593" spans="1:10">
      <c r="A593" s="8" t="s">
        <v>193</v>
      </c>
      <c r="B593" s="8" t="s">
        <v>194</v>
      </c>
      <c r="C593" s="8" t="s">
        <v>207</v>
      </c>
      <c r="D593" s="8">
        <v>169054.29</v>
      </c>
      <c r="E593" s="8" t="b">
        <v>0</v>
      </c>
      <c r="F593" s="8" t="b">
        <v>0</v>
      </c>
      <c r="G593" s="8">
        <v>28411.42</v>
      </c>
      <c r="H593" s="8">
        <v>108353.25</v>
      </c>
      <c r="I593" s="8">
        <v>60701.04</v>
      </c>
      <c r="J593" s="8" t="b">
        <v>0</v>
      </c>
    </row>
    <row r="594" spans="1:10">
      <c r="A594" s="8" t="s">
        <v>95</v>
      </c>
      <c r="B594" s="8" t="s">
        <v>96</v>
      </c>
      <c r="C594" s="8" t="s">
        <v>207</v>
      </c>
      <c r="D594" s="8">
        <v>272794.33</v>
      </c>
      <c r="E594" s="8" t="b">
        <v>0</v>
      </c>
      <c r="F594" s="8" t="b">
        <v>0</v>
      </c>
      <c r="G594" s="8">
        <v>64453.95</v>
      </c>
      <c r="H594" s="8">
        <v>198293.44</v>
      </c>
      <c r="I594" s="8">
        <v>74500.89</v>
      </c>
      <c r="J594" s="8" t="b">
        <v>0</v>
      </c>
    </row>
    <row r="595" spans="1:10">
      <c r="A595" s="8" t="s">
        <v>21</v>
      </c>
      <c r="B595" s="8" t="s">
        <v>22</v>
      </c>
      <c r="C595" s="8" t="s">
        <v>212</v>
      </c>
      <c r="D595" s="8">
        <v>33200</v>
      </c>
      <c r="E595" s="8" t="b">
        <v>0</v>
      </c>
      <c r="F595" s="8" t="b">
        <v>0</v>
      </c>
      <c r="G595" s="8">
        <v>3708.45</v>
      </c>
      <c r="H595" s="8">
        <v>29529.48</v>
      </c>
      <c r="I595" s="8">
        <v>3670.52</v>
      </c>
      <c r="J595" s="8" t="b">
        <v>0</v>
      </c>
    </row>
    <row r="596" spans="1:10">
      <c r="A596" s="8" t="s">
        <v>25</v>
      </c>
      <c r="B596" s="8" t="s">
        <v>26</v>
      </c>
      <c r="C596" s="8" t="s">
        <v>210</v>
      </c>
      <c r="D596" s="8">
        <v>36177.81</v>
      </c>
      <c r="E596" s="8" t="b">
        <v>0</v>
      </c>
      <c r="F596" s="8" t="b">
        <v>0</v>
      </c>
      <c r="G596" s="8">
        <v>6697.77</v>
      </c>
      <c r="H596" s="8">
        <v>34487.93</v>
      </c>
      <c r="I596" s="8">
        <v>1689.88</v>
      </c>
      <c r="J596" s="8" t="b">
        <v>0</v>
      </c>
    </row>
    <row r="597" spans="1:10">
      <c r="A597" s="8" t="s">
        <v>29</v>
      </c>
      <c r="B597" s="8" t="s">
        <v>30</v>
      </c>
      <c r="C597" s="8" t="s">
        <v>209</v>
      </c>
      <c r="D597" s="8">
        <v>148763.60999999999</v>
      </c>
      <c r="E597" s="8" t="b">
        <v>0</v>
      </c>
      <c r="F597" s="8" t="b">
        <v>0</v>
      </c>
      <c r="G597" s="8">
        <v>19569.02</v>
      </c>
      <c r="H597" s="8">
        <v>124786.35</v>
      </c>
      <c r="I597" s="8">
        <v>23977.26</v>
      </c>
      <c r="J597" s="8" t="b">
        <v>0</v>
      </c>
    </row>
    <row r="598" spans="1:10">
      <c r="A598" s="8" t="s">
        <v>73</v>
      </c>
      <c r="B598" s="8" t="s">
        <v>74</v>
      </c>
      <c r="C598" s="8" t="s">
        <v>210</v>
      </c>
      <c r="D598" s="8">
        <v>60107.09</v>
      </c>
      <c r="E598" s="8" t="b">
        <v>0</v>
      </c>
      <c r="F598" s="8" t="b">
        <v>0</v>
      </c>
      <c r="G598" s="8">
        <v>7299</v>
      </c>
      <c r="H598" s="8">
        <v>58841.56</v>
      </c>
      <c r="I598" s="8">
        <v>1265.53</v>
      </c>
      <c r="J598" s="8" t="b">
        <v>0</v>
      </c>
    </row>
    <row r="599" spans="1:10">
      <c r="A599" s="8" t="s">
        <v>81</v>
      </c>
      <c r="B599" s="8" t="s">
        <v>82</v>
      </c>
      <c r="C599" s="8" t="s">
        <v>210</v>
      </c>
      <c r="D599" s="8">
        <v>41436</v>
      </c>
      <c r="E599" s="8" t="b">
        <v>0</v>
      </c>
      <c r="F599" s="8" t="b">
        <v>0</v>
      </c>
      <c r="G599" s="8">
        <v>4138.17</v>
      </c>
      <c r="H599" s="8">
        <v>38466.589999999997</v>
      </c>
      <c r="I599" s="8">
        <v>2969.41</v>
      </c>
      <c r="J599" s="8" t="b">
        <v>0</v>
      </c>
    </row>
    <row r="600" spans="1:10">
      <c r="A600" s="8" t="s">
        <v>153</v>
      </c>
      <c r="B600" s="8" t="s">
        <v>154</v>
      </c>
      <c r="C600" s="8" t="s">
        <v>212</v>
      </c>
      <c r="D600" s="8">
        <v>48463.199999999997</v>
      </c>
      <c r="E600" s="8" t="b">
        <v>0</v>
      </c>
      <c r="F600" s="8" t="b">
        <v>0</v>
      </c>
      <c r="G600" s="8">
        <v>2934.1</v>
      </c>
      <c r="H600" s="8">
        <v>43753.43</v>
      </c>
      <c r="I600" s="8">
        <v>4709.7700000000004</v>
      </c>
      <c r="J600" s="8" t="b">
        <v>0</v>
      </c>
    </row>
    <row r="601" spans="1:10">
      <c r="A601" s="8" t="s">
        <v>133</v>
      </c>
      <c r="B601" s="8" t="s">
        <v>134</v>
      </c>
      <c r="C601" s="8" t="s">
        <v>211</v>
      </c>
      <c r="D601" s="8">
        <v>40531.42</v>
      </c>
      <c r="E601" s="8" t="b">
        <v>0</v>
      </c>
      <c r="F601" s="8" t="b">
        <v>0</v>
      </c>
      <c r="G601" s="8">
        <v>4303.1499999999996</v>
      </c>
      <c r="H601" s="8">
        <v>31226.92</v>
      </c>
      <c r="I601" s="8">
        <v>9304.5</v>
      </c>
      <c r="J601" s="8" t="b">
        <v>0</v>
      </c>
    </row>
    <row r="602" spans="1:10">
      <c r="A602" s="8" t="s">
        <v>179</v>
      </c>
      <c r="B602" s="8" t="s">
        <v>180</v>
      </c>
      <c r="C602" s="8" t="s">
        <v>207</v>
      </c>
      <c r="D602" s="8">
        <v>306432</v>
      </c>
      <c r="E602" s="8" t="b">
        <v>0</v>
      </c>
      <c r="F602" s="8" t="b">
        <v>0</v>
      </c>
      <c r="G602" s="8">
        <v>53551.02</v>
      </c>
      <c r="H602" s="8">
        <v>244014.88</v>
      </c>
      <c r="I602" s="8">
        <v>62417.120000000003</v>
      </c>
      <c r="J602" s="8" t="b">
        <v>0</v>
      </c>
    </row>
    <row r="603" spans="1:10">
      <c r="A603" s="8" t="s">
        <v>15</v>
      </c>
      <c r="B603" s="8" t="s">
        <v>16</v>
      </c>
      <c r="C603" s="8" t="s">
        <v>212</v>
      </c>
      <c r="D603" s="8">
        <v>35958.46</v>
      </c>
      <c r="E603" s="8" t="b">
        <v>0</v>
      </c>
      <c r="F603" s="8" t="b">
        <v>0</v>
      </c>
      <c r="G603" s="8">
        <v>1734.63</v>
      </c>
      <c r="H603" s="8">
        <v>34549.22</v>
      </c>
      <c r="I603" s="8">
        <v>1409.24</v>
      </c>
      <c r="J603" s="8" t="b">
        <v>0</v>
      </c>
    </row>
    <row r="604" spans="1:10">
      <c r="A604" s="8" t="s">
        <v>27</v>
      </c>
      <c r="B604" s="8" t="s">
        <v>28</v>
      </c>
      <c r="C604" s="8" t="s">
        <v>209</v>
      </c>
      <c r="D604" s="8">
        <v>34020</v>
      </c>
      <c r="E604" s="8" t="b">
        <v>0</v>
      </c>
      <c r="F604" s="8" t="b">
        <v>0</v>
      </c>
      <c r="G604" s="8">
        <v>0</v>
      </c>
      <c r="H604" s="8">
        <v>31909.279999999999</v>
      </c>
      <c r="I604" s="8">
        <v>2110.7199999999998</v>
      </c>
      <c r="J604" s="8" t="b">
        <v>0</v>
      </c>
    </row>
    <row r="605" spans="1:10">
      <c r="A605" s="8" t="s">
        <v>91</v>
      </c>
      <c r="B605" s="8" t="s">
        <v>92</v>
      </c>
      <c r="C605" s="8" t="s">
        <v>207</v>
      </c>
      <c r="D605" s="8">
        <v>658895.01</v>
      </c>
      <c r="E605" s="8" t="b">
        <v>0</v>
      </c>
      <c r="F605" s="8" t="b">
        <v>0</v>
      </c>
      <c r="G605" s="8">
        <v>60703.73</v>
      </c>
      <c r="H605" s="8">
        <v>713709.53</v>
      </c>
      <c r="I605" s="8">
        <v>-54814.52</v>
      </c>
      <c r="J605" s="8" t="b">
        <v>0</v>
      </c>
    </row>
    <row r="606" spans="1:10">
      <c r="A606" s="8" t="s">
        <v>79</v>
      </c>
      <c r="B606" s="8" t="s">
        <v>80</v>
      </c>
      <c r="C606" s="8" t="s">
        <v>209</v>
      </c>
      <c r="D606" s="8">
        <v>26550</v>
      </c>
      <c r="E606" s="8" t="b">
        <v>0</v>
      </c>
      <c r="F606" s="8" t="b">
        <v>0</v>
      </c>
      <c r="G606" s="8">
        <v>466.1</v>
      </c>
      <c r="H606" s="8">
        <v>28433.08</v>
      </c>
      <c r="I606" s="8">
        <v>-1883.08</v>
      </c>
      <c r="J606" s="8" t="b">
        <v>0</v>
      </c>
    </row>
    <row r="607" spans="1:10">
      <c r="A607" s="8" t="s">
        <v>23</v>
      </c>
      <c r="B607" s="8" t="s">
        <v>24</v>
      </c>
      <c r="C607" s="8" t="s">
        <v>212</v>
      </c>
      <c r="D607" s="8">
        <v>133044</v>
      </c>
      <c r="E607" s="8" t="b">
        <v>0</v>
      </c>
      <c r="F607" s="8" t="b">
        <v>0</v>
      </c>
      <c r="G607" s="8">
        <v>19569.689999999999</v>
      </c>
      <c r="H607" s="8">
        <v>129434.93</v>
      </c>
      <c r="I607" s="8">
        <v>3609.07</v>
      </c>
      <c r="J607" s="8" t="b">
        <v>0</v>
      </c>
    </row>
    <row r="608" spans="1:10">
      <c r="A608" s="8" t="s">
        <v>15</v>
      </c>
      <c r="B608" s="8" t="s">
        <v>16</v>
      </c>
      <c r="C608" s="8" t="s">
        <v>211</v>
      </c>
      <c r="D608" s="8">
        <v>27252.47</v>
      </c>
      <c r="E608" s="8" t="b">
        <v>0</v>
      </c>
      <c r="F608" s="8" t="b">
        <v>0</v>
      </c>
      <c r="G608" s="8">
        <v>1286.96</v>
      </c>
      <c r="H608" s="8">
        <v>23633.05</v>
      </c>
      <c r="I608" s="8">
        <v>3619.42</v>
      </c>
      <c r="J608" s="8" t="b">
        <v>0</v>
      </c>
    </row>
    <row r="609" spans="1:10">
      <c r="A609" s="8" t="s">
        <v>167</v>
      </c>
      <c r="B609" s="8" t="s">
        <v>168</v>
      </c>
      <c r="C609" s="8" t="s">
        <v>208</v>
      </c>
      <c r="D609" s="8">
        <v>760026.24</v>
      </c>
      <c r="E609" s="8" t="b">
        <v>0</v>
      </c>
      <c r="F609" s="8" t="b">
        <v>0</v>
      </c>
      <c r="G609" s="8">
        <v>0</v>
      </c>
      <c r="H609" s="8">
        <v>775461.62</v>
      </c>
      <c r="I609" s="8">
        <v>-15435.38</v>
      </c>
      <c r="J609" s="8" t="b">
        <v>0</v>
      </c>
    </row>
    <row r="610" spans="1:10">
      <c r="A610" s="8" t="s">
        <v>21</v>
      </c>
      <c r="B610" s="8" t="s">
        <v>22</v>
      </c>
      <c r="C610" s="8" t="s">
        <v>211</v>
      </c>
      <c r="D610" s="8">
        <v>24900</v>
      </c>
      <c r="E610" s="8" t="b">
        <v>0</v>
      </c>
      <c r="F610" s="8" t="b">
        <v>0</v>
      </c>
      <c r="G610" s="8">
        <v>0</v>
      </c>
      <c r="H610" s="8">
        <v>23549.4</v>
      </c>
      <c r="I610" s="8">
        <v>1350.6</v>
      </c>
      <c r="J610" s="8" t="b">
        <v>0</v>
      </c>
    </row>
    <row r="611" spans="1:10">
      <c r="A611" s="8" t="s">
        <v>23</v>
      </c>
      <c r="B611" s="8" t="s">
        <v>24</v>
      </c>
      <c r="C611" s="8" t="s">
        <v>211</v>
      </c>
      <c r="D611" s="8">
        <v>44348</v>
      </c>
      <c r="E611" s="8" t="b">
        <v>0</v>
      </c>
      <c r="F611" s="8" t="b">
        <v>0</v>
      </c>
      <c r="G611" s="8">
        <v>2971.02</v>
      </c>
      <c r="H611" s="8">
        <v>43333.31</v>
      </c>
      <c r="I611" s="8">
        <v>1014.69</v>
      </c>
      <c r="J611" s="8" t="b">
        <v>0</v>
      </c>
    </row>
    <row r="612" spans="1:10">
      <c r="A612" s="8" t="s">
        <v>157</v>
      </c>
      <c r="B612" s="8" t="s">
        <v>158</v>
      </c>
      <c r="C612" s="8" t="s">
        <v>211</v>
      </c>
      <c r="D612" s="8">
        <v>35129.06</v>
      </c>
      <c r="E612" s="8" t="b">
        <v>0</v>
      </c>
      <c r="F612" s="8" t="b">
        <v>0</v>
      </c>
      <c r="G612" s="8">
        <v>6035.91</v>
      </c>
      <c r="H612" s="8">
        <v>30018.45</v>
      </c>
      <c r="I612" s="8">
        <v>5110.6099999999997</v>
      </c>
      <c r="J612" s="8" t="b">
        <v>0</v>
      </c>
    </row>
    <row r="613" spans="1:10">
      <c r="A613" s="8" t="s">
        <v>103</v>
      </c>
      <c r="B613" s="8" t="s">
        <v>104</v>
      </c>
      <c r="C613" s="8" t="s">
        <v>207</v>
      </c>
      <c r="D613" s="8">
        <v>59895.42</v>
      </c>
      <c r="E613" s="8" t="b">
        <v>0</v>
      </c>
      <c r="F613" s="8" t="b">
        <v>0</v>
      </c>
      <c r="G613" s="8">
        <v>13813.38</v>
      </c>
      <c r="H613" s="8">
        <v>44129.04</v>
      </c>
      <c r="I613" s="8">
        <v>15766.38</v>
      </c>
      <c r="J613" s="8" t="b">
        <v>0</v>
      </c>
    </row>
    <row r="614" spans="1:10">
      <c r="A614" s="8" t="s">
        <v>199</v>
      </c>
      <c r="B614" s="8" t="s">
        <v>200</v>
      </c>
      <c r="C614" s="8" t="s">
        <v>212</v>
      </c>
      <c r="D614" s="8">
        <v>85112</v>
      </c>
      <c r="E614" s="8" t="b">
        <v>0</v>
      </c>
      <c r="F614" s="8" t="b">
        <v>0</v>
      </c>
      <c r="G614" s="8">
        <v>9993.49</v>
      </c>
      <c r="H614" s="8">
        <v>70590.960000000006</v>
      </c>
      <c r="I614" s="8">
        <v>14521.04</v>
      </c>
      <c r="J614" s="8" t="b">
        <v>0</v>
      </c>
    </row>
    <row r="615" spans="1:10">
      <c r="A615" s="8" t="s">
        <v>185</v>
      </c>
      <c r="B615" s="8" t="s">
        <v>186</v>
      </c>
      <c r="C615" s="8" t="s">
        <v>209</v>
      </c>
      <c r="D615" s="8">
        <v>102621.97</v>
      </c>
      <c r="E615" s="8" t="b">
        <v>0</v>
      </c>
      <c r="F615" s="8" t="b">
        <v>0</v>
      </c>
      <c r="G615" s="8">
        <v>6605.47</v>
      </c>
      <c r="H615" s="8">
        <v>104714.78</v>
      </c>
      <c r="I615" s="8">
        <v>-2092.81</v>
      </c>
      <c r="J615" s="8" t="b">
        <v>0</v>
      </c>
    </row>
    <row r="616" spans="1:10">
      <c r="A616" s="8" t="s">
        <v>185</v>
      </c>
      <c r="B616" s="8" t="s">
        <v>186</v>
      </c>
      <c r="C616" s="8" t="s">
        <v>210</v>
      </c>
      <c r="D616" s="8">
        <v>164323.60999999999</v>
      </c>
      <c r="E616" s="8" t="b">
        <v>0</v>
      </c>
      <c r="F616" s="8" t="b">
        <v>0</v>
      </c>
      <c r="G616" s="8">
        <v>6841.24</v>
      </c>
      <c r="H616" s="8">
        <v>182088.2</v>
      </c>
      <c r="I616" s="8">
        <v>-17764.59</v>
      </c>
      <c r="J616" s="8" t="b">
        <v>0</v>
      </c>
    </row>
    <row r="617" spans="1:10">
      <c r="A617" s="8" t="s">
        <v>105</v>
      </c>
      <c r="B617" s="8" t="s">
        <v>106</v>
      </c>
      <c r="C617" s="8" t="s">
        <v>207</v>
      </c>
      <c r="D617" s="8">
        <v>224358.55</v>
      </c>
      <c r="E617" s="8" t="b">
        <v>0</v>
      </c>
      <c r="F617" s="8" t="b">
        <v>0</v>
      </c>
      <c r="G617" s="8">
        <v>54601.87</v>
      </c>
      <c r="H617" s="8">
        <v>170938.09</v>
      </c>
      <c r="I617" s="8">
        <v>53420.46</v>
      </c>
      <c r="J617" s="8" t="b">
        <v>0</v>
      </c>
    </row>
    <row r="618" spans="1:10">
      <c r="A618" s="8" t="s">
        <v>187</v>
      </c>
      <c r="B618" s="8" t="s">
        <v>188</v>
      </c>
      <c r="C618" s="8" t="s">
        <v>211</v>
      </c>
      <c r="D618" s="8">
        <v>35280</v>
      </c>
      <c r="E618" s="8" t="b">
        <v>0</v>
      </c>
      <c r="F618" s="8" t="b">
        <v>0</v>
      </c>
      <c r="G618" s="8">
        <v>2429.59</v>
      </c>
      <c r="H618" s="8">
        <v>32729.01</v>
      </c>
      <c r="I618" s="8">
        <v>2550.9899999999998</v>
      </c>
      <c r="J618" s="8" t="b">
        <v>0</v>
      </c>
    </row>
    <row r="619" spans="1:10">
      <c r="A619" s="8" t="s">
        <v>123</v>
      </c>
      <c r="B619" s="8" t="s">
        <v>124</v>
      </c>
      <c r="C619" s="8" t="s">
        <v>207</v>
      </c>
      <c r="D619" s="8">
        <v>107050</v>
      </c>
      <c r="E619" s="8" t="b">
        <v>0</v>
      </c>
      <c r="F619" s="8" t="b">
        <v>0</v>
      </c>
      <c r="G619" s="8">
        <v>7909.38</v>
      </c>
      <c r="H619" s="8">
        <v>101056.18</v>
      </c>
      <c r="I619" s="8">
        <v>5993.82</v>
      </c>
      <c r="J619" s="8" t="b">
        <v>0</v>
      </c>
    </row>
    <row r="620" spans="1:10">
      <c r="A620" s="8" t="s">
        <v>153</v>
      </c>
      <c r="B620" s="8" t="s">
        <v>154</v>
      </c>
      <c r="C620" s="8" t="s">
        <v>211</v>
      </c>
      <c r="D620" s="8">
        <v>48463.19</v>
      </c>
      <c r="E620" s="8" t="b">
        <v>0</v>
      </c>
      <c r="F620" s="8" t="b">
        <v>0</v>
      </c>
      <c r="G620" s="8">
        <v>769.07</v>
      </c>
      <c r="H620" s="8">
        <v>46165.37</v>
      </c>
      <c r="I620" s="8">
        <v>2297.8200000000002</v>
      </c>
      <c r="J620" s="8" t="b">
        <v>0</v>
      </c>
    </row>
    <row r="621" spans="1:10">
      <c r="A621" s="8" t="s">
        <v>189</v>
      </c>
      <c r="B621" s="8" t="s">
        <v>190</v>
      </c>
      <c r="C621" s="8" t="s">
        <v>212</v>
      </c>
      <c r="D621" s="8">
        <v>62053.66</v>
      </c>
      <c r="E621" s="8" t="b">
        <v>0</v>
      </c>
      <c r="F621" s="8" t="b">
        <v>0</v>
      </c>
      <c r="G621" s="8">
        <v>5718.64</v>
      </c>
      <c r="H621" s="8">
        <v>58844.78</v>
      </c>
      <c r="I621" s="8">
        <v>3208.88</v>
      </c>
      <c r="J621" s="8" t="b">
        <v>0</v>
      </c>
    </row>
    <row r="622" spans="1:10">
      <c r="A622" s="8" t="s">
        <v>75</v>
      </c>
      <c r="B622" s="8" t="s">
        <v>76</v>
      </c>
      <c r="C622" s="8" t="s">
        <v>210</v>
      </c>
      <c r="D622" s="8">
        <v>101944</v>
      </c>
      <c r="E622" s="8" t="b">
        <v>0</v>
      </c>
      <c r="F622" s="8" t="b">
        <v>0</v>
      </c>
      <c r="G622" s="8">
        <v>22151.759999999998</v>
      </c>
      <c r="H622" s="8">
        <v>90966.01</v>
      </c>
      <c r="I622" s="8">
        <v>10977.99</v>
      </c>
      <c r="J622" s="8" t="b">
        <v>0</v>
      </c>
    </row>
    <row r="623" spans="1:10">
      <c r="A623" s="8" t="s">
        <v>109</v>
      </c>
      <c r="B623" s="8" t="s">
        <v>110</v>
      </c>
      <c r="C623" s="8" t="s">
        <v>207</v>
      </c>
      <c r="D623" s="8">
        <v>90572.6</v>
      </c>
      <c r="E623" s="8" t="b">
        <v>0</v>
      </c>
      <c r="F623" s="8" t="b">
        <v>0</v>
      </c>
      <c r="G623" s="8">
        <v>1262.6300000000001</v>
      </c>
      <c r="H623" s="8">
        <v>82904.31</v>
      </c>
      <c r="I623" s="8">
        <v>7668.29</v>
      </c>
      <c r="J623" s="8" t="b">
        <v>0</v>
      </c>
    </row>
    <row r="624" spans="1:10">
      <c r="A624" s="8" t="s">
        <v>177</v>
      </c>
      <c r="B624" s="8" t="s">
        <v>178</v>
      </c>
      <c r="C624" s="8" t="s">
        <v>207</v>
      </c>
      <c r="D624" s="8">
        <v>406698.5</v>
      </c>
      <c r="E624" s="8" t="b">
        <v>0</v>
      </c>
      <c r="F624" s="8" t="b">
        <v>0</v>
      </c>
      <c r="G624" s="8">
        <v>35207.870000000003</v>
      </c>
      <c r="H624" s="8">
        <v>384352.27</v>
      </c>
      <c r="I624" s="8">
        <v>22346.23</v>
      </c>
      <c r="J624" s="8" t="b">
        <v>0</v>
      </c>
    </row>
    <row r="625" spans="1:10">
      <c r="A625" s="8" t="s">
        <v>91</v>
      </c>
      <c r="B625" s="8" t="s">
        <v>92</v>
      </c>
      <c r="C625" s="8" t="s">
        <v>208</v>
      </c>
      <c r="D625" s="8">
        <v>733812.92</v>
      </c>
      <c r="E625" s="8" t="b">
        <v>0</v>
      </c>
      <c r="F625" s="8" t="b">
        <v>0</v>
      </c>
      <c r="G625" s="8">
        <v>56245.74</v>
      </c>
      <c r="H625" s="8">
        <v>733224.55</v>
      </c>
      <c r="I625" s="8">
        <v>588.37</v>
      </c>
      <c r="J625" s="8" t="b">
        <v>0</v>
      </c>
    </row>
    <row r="626" spans="1:10">
      <c r="A626" s="8" t="s">
        <v>111</v>
      </c>
      <c r="B626" s="8" t="s">
        <v>112</v>
      </c>
      <c r="C626" s="8" t="s">
        <v>210</v>
      </c>
      <c r="D626" s="8">
        <v>54288</v>
      </c>
      <c r="E626" s="8" t="b">
        <v>0</v>
      </c>
      <c r="F626" s="8" t="b">
        <v>0</v>
      </c>
      <c r="G626" s="8">
        <v>13196.97</v>
      </c>
      <c r="H626" s="8">
        <v>46080.55</v>
      </c>
      <c r="I626" s="8">
        <v>8207.4500000000007</v>
      </c>
      <c r="J626" s="8" t="b">
        <v>0</v>
      </c>
    </row>
    <row r="627" spans="1:10">
      <c r="A627" s="8" t="s">
        <v>63</v>
      </c>
      <c r="B627" s="8" t="s">
        <v>64</v>
      </c>
      <c r="C627" s="8" t="s">
        <v>208</v>
      </c>
      <c r="D627" s="8">
        <v>176776.08</v>
      </c>
      <c r="E627" s="8" t="b">
        <v>0</v>
      </c>
      <c r="F627" s="8" t="b">
        <v>0</v>
      </c>
      <c r="G627" s="8">
        <v>8512.66</v>
      </c>
      <c r="H627" s="8">
        <v>169946.87</v>
      </c>
      <c r="I627" s="8">
        <v>6829.21</v>
      </c>
      <c r="J627" s="8" t="b">
        <v>0</v>
      </c>
    </row>
    <row r="628" spans="1:10">
      <c r="A628" s="8" t="s">
        <v>147</v>
      </c>
      <c r="B628" s="8" t="s">
        <v>148</v>
      </c>
      <c r="C628" s="8" t="s">
        <v>207</v>
      </c>
      <c r="D628" s="8">
        <v>161011.46</v>
      </c>
      <c r="E628" s="8" t="b">
        <v>0</v>
      </c>
      <c r="F628" s="8" t="b">
        <v>0</v>
      </c>
      <c r="G628" s="8">
        <v>25776.91</v>
      </c>
      <c r="H628" s="8">
        <v>142366.76999999999</v>
      </c>
      <c r="I628" s="8">
        <v>18644.689999999999</v>
      </c>
      <c r="J628" s="8" t="b">
        <v>0</v>
      </c>
    </row>
    <row r="629" spans="1:10">
      <c r="A629" s="8" t="s">
        <v>51</v>
      </c>
      <c r="B629" s="8" t="s">
        <v>52</v>
      </c>
      <c r="C629" s="8" t="s">
        <v>212</v>
      </c>
      <c r="D629" s="8">
        <v>42846.81</v>
      </c>
      <c r="E629" s="8" t="b">
        <v>0</v>
      </c>
      <c r="F629" s="8" t="b">
        <v>0</v>
      </c>
      <c r="G629" s="8">
        <v>4659.72</v>
      </c>
      <c r="H629" s="8">
        <v>31863.64</v>
      </c>
      <c r="I629" s="8">
        <v>10983.17</v>
      </c>
      <c r="J629" s="8" t="b">
        <v>0</v>
      </c>
    </row>
    <row r="630" spans="1:10">
      <c r="A630" s="8" t="s">
        <v>179</v>
      </c>
      <c r="B630" s="8" t="s">
        <v>180</v>
      </c>
      <c r="C630" s="8" t="s">
        <v>208</v>
      </c>
      <c r="D630" s="8">
        <v>395808</v>
      </c>
      <c r="E630" s="8" t="b">
        <v>0</v>
      </c>
      <c r="F630" s="8" t="b">
        <v>0</v>
      </c>
      <c r="G630" s="8">
        <v>98064.639999999999</v>
      </c>
      <c r="H630" s="8">
        <v>266570.52</v>
      </c>
      <c r="I630" s="8">
        <v>129237.48</v>
      </c>
      <c r="J630" s="8" t="b">
        <v>0</v>
      </c>
    </row>
    <row r="631" spans="1:10">
      <c r="A631" s="8" t="s">
        <v>165</v>
      </c>
      <c r="B631" s="8" t="s">
        <v>166</v>
      </c>
      <c r="C631" s="8" t="s">
        <v>208</v>
      </c>
      <c r="D631" s="8">
        <v>112532</v>
      </c>
      <c r="E631" s="8" t="b">
        <v>0</v>
      </c>
      <c r="F631" s="8" t="b">
        <v>0</v>
      </c>
      <c r="G631" s="8">
        <v>0</v>
      </c>
      <c r="H631" s="8">
        <v>69482.880000000005</v>
      </c>
      <c r="I631" s="8">
        <v>43049.120000000003</v>
      </c>
      <c r="J631" s="8" t="b">
        <v>0</v>
      </c>
    </row>
    <row r="632" spans="1:10">
      <c r="A632" s="8" t="s">
        <v>193</v>
      </c>
      <c r="B632" s="8" t="s">
        <v>194</v>
      </c>
      <c r="C632" s="8" t="s">
        <v>208</v>
      </c>
      <c r="D632" s="8">
        <v>217846.56</v>
      </c>
      <c r="E632" s="8" t="b">
        <v>0</v>
      </c>
      <c r="F632" s="8" t="b">
        <v>0</v>
      </c>
      <c r="G632" s="8">
        <v>0</v>
      </c>
      <c r="H632" s="8">
        <v>172246.95</v>
      </c>
      <c r="I632" s="8">
        <v>45599.61</v>
      </c>
      <c r="J632" s="8" t="b">
        <v>0</v>
      </c>
    </row>
    <row r="633" spans="1:10">
      <c r="A633" s="8" t="s">
        <v>95</v>
      </c>
      <c r="B633" s="8" t="s">
        <v>96</v>
      </c>
      <c r="C633" s="8" t="s">
        <v>208</v>
      </c>
      <c r="D633" s="8">
        <v>252708.47</v>
      </c>
      <c r="E633" s="8" t="b">
        <v>0</v>
      </c>
      <c r="F633" s="8" t="b">
        <v>0</v>
      </c>
      <c r="G633" s="8">
        <v>25374.52</v>
      </c>
      <c r="H633" s="8">
        <v>202395.35</v>
      </c>
      <c r="I633" s="8">
        <v>50313.120000000003</v>
      </c>
      <c r="J633" s="8" t="b">
        <v>0</v>
      </c>
    </row>
    <row r="634" spans="1:10">
      <c r="A634" s="8" t="s">
        <v>57</v>
      </c>
      <c r="B634" s="8" t="s">
        <v>58</v>
      </c>
      <c r="C634" s="8" t="s">
        <v>209</v>
      </c>
      <c r="D634" s="8">
        <v>122895</v>
      </c>
      <c r="E634" s="8" t="b">
        <v>0</v>
      </c>
      <c r="F634" s="8" t="b">
        <v>0</v>
      </c>
      <c r="G634" s="8">
        <v>4740.46</v>
      </c>
      <c r="H634" s="8">
        <v>88380.51</v>
      </c>
      <c r="I634" s="8">
        <v>34514.49</v>
      </c>
      <c r="J634" s="8" t="b">
        <v>0</v>
      </c>
    </row>
    <row r="635" spans="1:10">
      <c r="A635" s="8" t="s">
        <v>57</v>
      </c>
      <c r="B635" s="8" t="s">
        <v>58</v>
      </c>
      <c r="C635" s="8" t="s">
        <v>210</v>
      </c>
      <c r="D635" s="8">
        <v>172053</v>
      </c>
      <c r="E635" s="8" t="b">
        <v>0</v>
      </c>
      <c r="F635" s="8" t="b">
        <v>0</v>
      </c>
      <c r="G635" s="8">
        <v>10404.09</v>
      </c>
      <c r="H635" s="8">
        <v>125684.79</v>
      </c>
      <c r="I635" s="8">
        <v>46368.21</v>
      </c>
      <c r="J635" s="8" t="b">
        <v>0</v>
      </c>
    </row>
    <row r="636" spans="1:10">
      <c r="A636" s="8" t="s">
        <v>117</v>
      </c>
      <c r="B636" s="8" t="s">
        <v>118</v>
      </c>
      <c r="C636" s="8" t="s">
        <v>210</v>
      </c>
      <c r="D636" s="8">
        <v>129686.56</v>
      </c>
      <c r="E636" s="8" t="b">
        <v>0</v>
      </c>
      <c r="F636" s="8" t="b">
        <v>0</v>
      </c>
      <c r="G636" s="8">
        <v>11737.77</v>
      </c>
      <c r="H636" s="8">
        <v>52931.53</v>
      </c>
      <c r="I636" s="8">
        <v>76755.03</v>
      </c>
      <c r="J636" s="8" t="b">
        <v>0</v>
      </c>
    </row>
    <row r="637" spans="1:10">
      <c r="A637" s="8" t="s">
        <v>75</v>
      </c>
      <c r="B637" s="8" t="s">
        <v>76</v>
      </c>
      <c r="C637" s="8" t="s">
        <v>209</v>
      </c>
      <c r="D637" s="8">
        <v>63715</v>
      </c>
      <c r="E637" s="8" t="b">
        <v>0</v>
      </c>
      <c r="F637" s="8" t="b">
        <v>0</v>
      </c>
      <c r="G637" s="8">
        <v>4588.22</v>
      </c>
      <c r="H637" s="8">
        <v>62249.79</v>
      </c>
      <c r="I637" s="8">
        <v>1465.21</v>
      </c>
      <c r="J637" s="8" t="b">
        <v>0</v>
      </c>
    </row>
    <row r="638" spans="1:10">
      <c r="A638" s="8" t="s">
        <v>133</v>
      </c>
      <c r="B638" s="8" t="s">
        <v>134</v>
      </c>
      <c r="C638" s="8" t="s">
        <v>212</v>
      </c>
      <c r="D638" s="8">
        <v>53815.43</v>
      </c>
      <c r="E638" s="8" t="b">
        <v>0</v>
      </c>
      <c r="F638" s="8" t="b">
        <v>0</v>
      </c>
      <c r="G638" s="8">
        <v>6319.38</v>
      </c>
      <c r="H638" s="8">
        <v>48104.19</v>
      </c>
      <c r="I638" s="8">
        <v>5711.24</v>
      </c>
      <c r="J638" s="8" t="b">
        <v>0</v>
      </c>
    </row>
    <row r="639" spans="1:10">
      <c r="A639" s="8" t="s">
        <v>111</v>
      </c>
      <c r="B639" s="8" t="s">
        <v>112</v>
      </c>
      <c r="C639" s="8" t="s">
        <v>209</v>
      </c>
      <c r="D639" s="8">
        <v>33930</v>
      </c>
      <c r="E639" s="8" t="b">
        <v>0</v>
      </c>
      <c r="F639" s="8" t="b">
        <v>0</v>
      </c>
      <c r="G639" s="8">
        <v>2429.67</v>
      </c>
      <c r="H639" s="8">
        <v>32275.24</v>
      </c>
      <c r="I639" s="8">
        <v>1654.76</v>
      </c>
      <c r="J639" s="8" t="b">
        <v>0</v>
      </c>
    </row>
    <row r="640" spans="1:10">
      <c r="A640" s="8" t="s">
        <v>117</v>
      </c>
      <c r="B640" s="8" t="s">
        <v>118</v>
      </c>
      <c r="C640" s="8" t="s">
        <v>209</v>
      </c>
      <c r="D640" s="8">
        <v>74287.94</v>
      </c>
      <c r="E640" s="8" t="b">
        <v>0</v>
      </c>
      <c r="F640" s="8" t="b">
        <v>0</v>
      </c>
      <c r="G640" s="8">
        <v>4404</v>
      </c>
      <c r="H640" s="8">
        <v>30172.78</v>
      </c>
      <c r="I640" s="8">
        <v>44115.16</v>
      </c>
      <c r="J640" s="8" t="b">
        <v>0</v>
      </c>
    </row>
    <row r="641" spans="1:10">
      <c r="A641" s="8" t="s">
        <v>15</v>
      </c>
      <c r="B641" s="8" t="s">
        <v>16</v>
      </c>
      <c r="C641" s="8" t="s">
        <v>208</v>
      </c>
      <c r="D641" s="8">
        <v>259083.23</v>
      </c>
      <c r="E641" s="8" t="b">
        <v>0</v>
      </c>
      <c r="F641" s="8" t="b">
        <v>0</v>
      </c>
      <c r="G641" s="8">
        <v>44585.17</v>
      </c>
      <c r="H641" s="8">
        <v>226534.08</v>
      </c>
      <c r="I641" s="8">
        <v>32549.15</v>
      </c>
      <c r="J641" s="8" t="b">
        <v>0</v>
      </c>
    </row>
    <row r="642" spans="1:10">
      <c r="A642" s="8" t="s">
        <v>167</v>
      </c>
      <c r="B642" s="8" t="s">
        <v>168</v>
      </c>
      <c r="C642" s="8" t="s">
        <v>211</v>
      </c>
      <c r="D642" s="8">
        <v>49494.69</v>
      </c>
      <c r="E642" s="8" t="b">
        <v>0</v>
      </c>
      <c r="F642" s="8" t="b">
        <v>0</v>
      </c>
      <c r="G642" s="8">
        <v>10037.280000000001</v>
      </c>
      <c r="H642" s="8">
        <v>43312.7</v>
      </c>
      <c r="I642" s="8">
        <v>6181.99</v>
      </c>
      <c r="J642" s="8" t="b">
        <v>0</v>
      </c>
    </row>
    <row r="643" spans="1:10">
      <c r="A643" s="8" t="s">
        <v>21</v>
      </c>
      <c r="B643" s="8" t="s">
        <v>22</v>
      </c>
      <c r="C643" s="8" t="s">
        <v>208</v>
      </c>
      <c r="D643" s="8">
        <v>257300</v>
      </c>
      <c r="E643" s="8" t="b">
        <v>0</v>
      </c>
      <c r="F643" s="8" t="b">
        <v>0</v>
      </c>
      <c r="G643" s="8">
        <v>47909.5</v>
      </c>
      <c r="H643" s="8">
        <v>240174.78</v>
      </c>
      <c r="I643" s="8">
        <v>17125.22</v>
      </c>
      <c r="J643" s="8" t="b">
        <v>0</v>
      </c>
    </row>
    <row r="644" spans="1:10">
      <c r="A644" s="8" t="s">
        <v>23</v>
      </c>
      <c r="B644" s="8" t="s">
        <v>24</v>
      </c>
      <c r="C644" s="8" t="s">
        <v>208</v>
      </c>
      <c r="D644" s="8">
        <v>687394</v>
      </c>
      <c r="E644" s="8" t="b">
        <v>0</v>
      </c>
      <c r="F644" s="8" t="b">
        <v>0</v>
      </c>
      <c r="G644" s="8">
        <v>36979.93</v>
      </c>
      <c r="H644" s="8">
        <v>665428.78</v>
      </c>
      <c r="I644" s="8">
        <v>21965.22</v>
      </c>
      <c r="J644" s="8" t="b">
        <v>0</v>
      </c>
    </row>
    <row r="645" spans="1:10">
      <c r="A645" s="8" t="s">
        <v>139</v>
      </c>
      <c r="B645" s="8" t="s">
        <v>140</v>
      </c>
      <c r="C645" s="8" t="s">
        <v>210</v>
      </c>
      <c r="D645" s="8">
        <v>94300.02</v>
      </c>
      <c r="E645" s="8" t="b">
        <v>0</v>
      </c>
      <c r="F645" s="8" t="b">
        <v>0</v>
      </c>
      <c r="G645" s="8">
        <v>17063.14</v>
      </c>
      <c r="H645" s="8">
        <v>86464.67</v>
      </c>
      <c r="I645" s="8">
        <v>7835.35</v>
      </c>
      <c r="J645" s="8" t="b">
        <v>0</v>
      </c>
    </row>
    <row r="646" spans="1:10">
      <c r="A646" s="8" t="s">
        <v>101</v>
      </c>
      <c r="B646" s="8" t="s">
        <v>102</v>
      </c>
      <c r="C646" s="8" t="s">
        <v>209</v>
      </c>
      <c r="D646" s="8">
        <v>29475.919999999998</v>
      </c>
      <c r="E646" s="8" t="b">
        <v>0</v>
      </c>
      <c r="F646" s="8" t="b">
        <v>0</v>
      </c>
      <c r="G646" s="8">
        <v>0</v>
      </c>
      <c r="H646" s="8">
        <v>30454.32</v>
      </c>
      <c r="I646" s="8">
        <v>-978.4</v>
      </c>
      <c r="J646" s="8" t="b">
        <v>0</v>
      </c>
    </row>
    <row r="647" spans="1:10">
      <c r="A647" s="8" t="s">
        <v>197</v>
      </c>
      <c r="B647" s="8" t="s">
        <v>198</v>
      </c>
      <c r="C647" s="8" t="s">
        <v>209</v>
      </c>
      <c r="D647" s="8">
        <v>80305.399999999994</v>
      </c>
      <c r="E647" s="8" t="b">
        <v>0</v>
      </c>
      <c r="F647" s="8" t="b">
        <v>0</v>
      </c>
      <c r="G647" s="8">
        <v>15463.99</v>
      </c>
      <c r="H647" s="8">
        <v>74658.69</v>
      </c>
      <c r="I647" s="8">
        <v>5646.71</v>
      </c>
      <c r="J647" s="8" t="b">
        <v>0</v>
      </c>
    </row>
    <row r="648" spans="1:10">
      <c r="A648" s="8" t="s">
        <v>197</v>
      </c>
      <c r="B648" s="8" t="s">
        <v>198</v>
      </c>
      <c r="C648" s="8" t="s">
        <v>210</v>
      </c>
      <c r="D648" s="8">
        <v>139875.99</v>
      </c>
      <c r="E648" s="8" t="b">
        <v>0</v>
      </c>
      <c r="F648" s="8" t="b">
        <v>0</v>
      </c>
      <c r="G648" s="8">
        <v>23151.78</v>
      </c>
      <c r="H648" s="8">
        <v>132683.88</v>
      </c>
      <c r="I648" s="8">
        <v>7192.11</v>
      </c>
      <c r="J648" s="8" t="b">
        <v>0</v>
      </c>
    </row>
    <row r="649" spans="1:10">
      <c r="A649" s="8" t="s">
        <v>103</v>
      </c>
      <c r="B649" s="8" t="s">
        <v>104</v>
      </c>
      <c r="C649" s="8" t="s">
        <v>212</v>
      </c>
      <c r="D649" s="8">
        <v>9193.7099999999991</v>
      </c>
      <c r="E649" s="8" t="b">
        <v>0</v>
      </c>
      <c r="F649" s="8" t="b">
        <v>0</v>
      </c>
      <c r="G649" s="8">
        <v>696.3</v>
      </c>
      <c r="H649" s="8">
        <v>8330.9599999999991</v>
      </c>
      <c r="I649" s="8">
        <v>862.75</v>
      </c>
      <c r="J649" s="8" t="b">
        <v>0</v>
      </c>
    </row>
    <row r="650" spans="1:10">
      <c r="A650" s="8" t="s">
        <v>89</v>
      </c>
      <c r="B650" s="8" t="s">
        <v>90</v>
      </c>
      <c r="C650" s="8" t="s">
        <v>210</v>
      </c>
      <c r="D650" s="8">
        <v>83352</v>
      </c>
      <c r="E650" s="8" t="b">
        <v>0</v>
      </c>
      <c r="F650" s="8" t="b">
        <v>0</v>
      </c>
      <c r="G650" s="8">
        <v>17361.71</v>
      </c>
      <c r="H650" s="8">
        <v>67811.59</v>
      </c>
      <c r="I650" s="8">
        <v>15540.41</v>
      </c>
      <c r="J650" s="8" t="b">
        <v>0</v>
      </c>
    </row>
    <row r="651" spans="1:10">
      <c r="A651" s="8" t="s">
        <v>105</v>
      </c>
      <c r="B651" s="8" t="s">
        <v>106</v>
      </c>
      <c r="C651" s="8" t="s">
        <v>212</v>
      </c>
      <c r="D651" s="8">
        <v>36804.910000000003</v>
      </c>
      <c r="E651" s="8" t="b">
        <v>0</v>
      </c>
      <c r="F651" s="8" t="b">
        <v>0</v>
      </c>
      <c r="G651" s="8">
        <v>1848.04</v>
      </c>
      <c r="H651" s="8">
        <v>34379.379999999997</v>
      </c>
      <c r="I651" s="8">
        <v>2425.5300000000002</v>
      </c>
      <c r="J651" s="8" t="b">
        <v>0</v>
      </c>
    </row>
    <row r="652" spans="1:10">
      <c r="A652" s="8" t="s">
        <v>187</v>
      </c>
      <c r="B652" s="8" t="s">
        <v>188</v>
      </c>
      <c r="C652" s="8" t="s">
        <v>208</v>
      </c>
      <c r="D652" s="8">
        <v>329280</v>
      </c>
      <c r="E652" s="8" t="b">
        <v>0</v>
      </c>
      <c r="F652" s="8" t="b">
        <v>0</v>
      </c>
      <c r="G652" s="8">
        <v>0</v>
      </c>
      <c r="H652" s="8">
        <v>298974.86</v>
      </c>
      <c r="I652" s="8">
        <v>30305.14</v>
      </c>
      <c r="J652" s="8" t="b">
        <v>0</v>
      </c>
    </row>
    <row r="653" spans="1:10">
      <c r="A653" s="8" t="s">
        <v>153</v>
      </c>
      <c r="B653" s="8" t="s">
        <v>154</v>
      </c>
      <c r="C653" s="8" t="s">
        <v>208</v>
      </c>
      <c r="D653" s="8">
        <v>336462.21</v>
      </c>
      <c r="E653" s="8" t="b">
        <v>0</v>
      </c>
      <c r="F653" s="8" t="b">
        <v>0</v>
      </c>
      <c r="G653" s="8">
        <v>69078.460000000006</v>
      </c>
      <c r="H653" s="8">
        <v>275775.51</v>
      </c>
      <c r="I653" s="8">
        <v>60686.7</v>
      </c>
      <c r="J653" s="8" t="b">
        <v>0</v>
      </c>
    </row>
    <row r="654" spans="1:10">
      <c r="A654" s="8" t="s">
        <v>189</v>
      </c>
      <c r="B654" s="8" t="s">
        <v>190</v>
      </c>
      <c r="C654" s="8" t="s">
        <v>207</v>
      </c>
      <c r="D654" s="8">
        <v>362818.48</v>
      </c>
      <c r="E654" s="8" t="b">
        <v>0</v>
      </c>
      <c r="F654" s="8" t="b">
        <v>0</v>
      </c>
      <c r="G654" s="8">
        <v>42616.99</v>
      </c>
      <c r="H654" s="8">
        <v>350613.36</v>
      </c>
      <c r="I654" s="8">
        <v>12205.12</v>
      </c>
      <c r="J654" s="8" t="b">
        <v>0</v>
      </c>
    </row>
    <row r="655" spans="1:10">
      <c r="A655" s="8" t="s">
        <v>109</v>
      </c>
      <c r="B655" s="8" t="s">
        <v>110</v>
      </c>
      <c r="C655" s="8" t="s">
        <v>212</v>
      </c>
      <c r="D655" s="8">
        <v>14126.23</v>
      </c>
      <c r="E655" s="8" t="b">
        <v>0</v>
      </c>
      <c r="F655" s="8" t="b">
        <v>0</v>
      </c>
      <c r="G655" s="8">
        <v>310.19</v>
      </c>
      <c r="H655" s="8">
        <v>13376.74</v>
      </c>
      <c r="I655" s="8">
        <v>749.49</v>
      </c>
      <c r="J655" s="8" t="b">
        <v>0</v>
      </c>
    </row>
    <row r="656" spans="1:10">
      <c r="A656" s="8" t="s">
        <v>177</v>
      </c>
      <c r="B656" s="8" t="s">
        <v>178</v>
      </c>
      <c r="C656" s="8" t="s">
        <v>212</v>
      </c>
      <c r="D656" s="8">
        <v>41443.97</v>
      </c>
      <c r="E656" s="8" t="b">
        <v>0</v>
      </c>
      <c r="F656" s="8" t="b">
        <v>0</v>
      </c>
      <c r="G656" s="8">
        <v>3037.87</v>
      </c>
      <c r="H656" s="8">
        <v>38590.86</v>
      </c>
      <c r="I656" s="8">
        <v>2853.11</v>
      </c>
      <c r="J656" s="8" t="b">
        <v>0</v>
      </c>
    </row>
    <row r="657" spans="1:10">
      <c r="A657" s="8" t="s">
        <v>201</v>
      </c>
      <c r="B657" s="8" t="s">
        <v>202</v>
      </c>
      <c r="C657" s="8" t="s">
        <v>209</v>
      </c>
      <c r="D657" s="8">
        <v>96848.22</v>
      </c>
      <c r="E657" s="8" t="b">
        <v>0</v>
      </c>
      <c r="F657" s="8" t="b">
        <v>0</v>
      </c>
      <c r="G657" s="8">
        <v>0</v>
      </c>
      <c r="H657" s="8">
        <v>103925.6</v>
      </c>
      <c r="I657" s="8">
        <v>-7077.38</v>
      </c>
      <c r="J657" s="8" t="b">
        <v>0</v>
      </c>
    </row>
    <row r="658" spans="1:10">
      <c r="A658" s="8" t="s">
        <v>201</v>
      </c>
      <c r="B658" s="8" t="s">
        <v>202</v>
      </c>
      <c r="C658" s="8" t="s">
        <v>210</v>
      </c>
      <c r="D658" s="8">
        <v>168805.03</v>
      </c>
      <c r="E658" s="8" t="b">
        <v>0</v>
      </c>
      <c r="F658" s="8" t="b">
        <v>0</v>
      </c>
      <c r="G658" s="8">
        <v>25383.31</v>
      </c>
      <c r="H658" s="8">
        <v>170589.6</v>
      </c>
      <c r="I658" s="8">
        <v>-1784.57</v>
      </c>
      <c r="J658" s="8" t="b">
        <v>0</v>
      </c>
    </row>
    <row r="659" spans="1:10">
      <c r="A659" s="8" t="s">
        <v>133</v>
      </c>
      <c r="B659" s="8" t="s">
        <v>134</v>
      </c>
      <c r="C659" s="8" t="s">
        <v>207</v>
      </c>
      <c r="D659" s="8">
        <v>329686.90999999997</v>
      </c>
      <c r="E659" s="8" t="b">
        <v>0</v>
      </c>
      <c r="F659" s="8" t="b">
        <v>0</v>
      </c>
      <c r="G659" s="8">
        <v>0</v>
      </c>
      <c r="H659" s="8">
        <v>321240.90999999997</v>
      </c>
      <c r="I659" s="8">
        <v>8446</v>
      </c>
      <c r="J659" s="8" t="b">
        <v>0</v>
      </c>
    </row>
    <row r="660" spans="1:10">
      <c r="A660" s="8" t="s">
        <v>51</v>
      </c>
      <c r="B660" s="8" t="s">
        <v>52</v>
      </c>
      <c r="C660" s="8" t="s">
        <v>207</v>
      </c>
      <c r="D660" s="8">
        <v>267588.96999999997</v>
      </c>
      <c r="E660" s="8" t="b">
        <v>0</v>
      </c>
      <c r="F660" s="8" t="b">
        <v>0</v>
      </c>
      <c r="G660" s="8">
        <v>13211.55</v>
      </c>
      <c r="H660" s="8">
        <v>231448.59</v>
      </c>
      <c r="I660" s="8">
        <v>36140.379999999997</v>
      </c>
      <c r="J660" s="8" t="b">
        <v>0</v>
      </c>
    </row>
    <row r="661" spans="1:10">
      <c r="A661" s="8" t="s">
        <v>179</v>
      </c>
      <c r="B661" s="8" t="s">
        <v>180</v>
      </c>
      <c r="C661" s="8" t="s">
        <v>211</v>
      </c>
      <c r="D661" s="8">
        <v>38304</v>
      </c>
      <c r="E661" s="8" t="b">
        <v>0</v>
      </c>
      <c r="F661" s="8" t="b">
        <v>0</v>
      </c>
      <c r="G661" s="8">
        <v>6667.13</v>
      </c>
      <c r="H661" s="8">
        <v>30416.52</v>
      </c>
      <c r="I661" s="8">
        <v>7887.48</v>
      </c>
      <c r="J661" s="8" t="b">
        <v>0</v>
      </c>
    </row>
    <row r="662" spans="1:10">
      <c r="A662" s="8" t="s">
        <v>139</v>
      </c>
      <c r="B662" s="8" t="s">
        <v>140</v>
      </c>
      <c r="C662" s="8" t="s">
        <v>209</v>
      </c>
      <c r="D662" s="8">
        <v>42318.21</v>
      </c>
      <c r="E662" s="8" t="b">
        <v>0</v>
      </c>
      <c r="F662" s="8" t="b">
        <v>0</v>
      </c>
      <c r="G662" s="8">
        <v>2439.5300000000002</v>
      </c>
      <c r="H662" s="8">
        <v>42339.42</v>
      </c>
      <c r="I662" s="8">
        <v>-21.21</v>
      </c>
      <c r="J662" s="8" t="b">
        <v>0</v>
      </c>
    </row>
    <row r="663" spans="1:10">
      <c r="A663" s="8" t="s">
        <v>89</v>
      </c>
      <c r="B663" s="8" t="s">
        <v>90</v>
      </c>
      <c r="C663" s="8" t="s">
        <v>209</v>
      </c>
      <c r="D663" s="8">
        <v>52095</v>
      </c>
      <c r="E663" s="8" t="b">
        <v>0</v>
      </c>
      <c r="F663" s="8" t="b">
        <v>0</v>
      </c>
      <c r="G663" s="8">
        <v>5491.67</v>
      </c>
      <c r="H663" s="8">
        <v>48165.49</v>
      </c>
      <c r="I663" s="8">
        <v>3929.51</v>
      </c>
      <c r="J663" s="8" t="b">
        <v>0</v>
      </c>
    </row>
    <row r="664" spans="1:10">
      <c r="A664" s="8" t="s">
        <v>91</v>
      </c>
      <c r="B664" s="8" t="s">
        <v>92</v>
      </c>
      <c r="C664" s="8" t="s">
        <v>211</v>
      </c>
      <c r="D664" s="8">
        <v>47210.43</v>
      </c>
      <c r="E664" s="8" t="b">
        <v>0</v>
      </c>
      <c r="F664" s="8" t="b">
        <v>0</v>
      </c>
      <c r="G664" s="8">
        <v>2666.47</v>
      </c>
      <c r="H664" s="8">
        <v>41993.82</v>
      </c>
      <c r="I664" s="8">
        <v>5216.6099999999997</v>
      </c>
      <c r="J664" s="8" t="b">
        <v>0</v>
      </c>
    </row>
    <row r="665" spans="1:10">
      <c r="A665" s="8" t="s">
        <v>63</v>
      </c>
      <c r="B665" s="8" t="s">
        <v>64</v>
      </c>
      <c r="C665" s="8" t="s">
        <v>211</v>
      </c>
      <c r="D665" s="8">
        <v>25374.78</v>
      </c>
      <c r="E665" s="8" t="b">
        <v>0</v>
      </c>
      <c r="F665" s="8" t="b">
        <v>0</v>
      </c>
      <c r="G665" s="8">
        <v>1228.1099999999999</v>
      </c>
      <c r="H665" s="8">
        <v>22304.400000000001</v>
      </c>
      <c r="I665" s="8">
        <v>3070.38</v>
      </c>
      <c r="J665" s="8" t="b">
        <v>0</v>
      </c>
    </row>
    <row r="666" spans="1:10">
      <c r="A666" s="8" t="s">
        <v>165</v>
      </c>
      <c r="B666" s="8" t="s">
        <v>166</v>
      </c>
      <c r="C666" s="8" t="s">
        <v>211</v>
      </c>
      <c r="D666" s="8">
        <v>12057</v>
      </c>
      <c r="E666" s="8" t="b">
        <v>0</v>
      </c>
      <c r="F666" s="8" t="b">
        <v>0</v>
      </c>
      <c r="G666" s="8">
        <v>1091.93</v>
      </c>
      <c r="H666" s="8">
        <v>5882.53</v>
      </c>
      <c r="I666" s="8">
        <v>6174.47</v>
      </c>
      <c r="J666" s="8" t="b">
        <v>0</v>
      </c>
    </row>
    <row r="667" spans="1:10">
      <c r="A667" s="8" t="s">
        <v>193</v>
      </c>
      <c r="B667" s="8" t="s">
        <v>194</v>
      </c>
      <c r="C667" s="8" t="s">
        <v>211</v>
      </c>
      <c r="D667" s="8">
        <v>21059.89</v>
      </c>
      <c r="E667" s="8" t="b">
        <v>0</v>
      </c>
      <c r="F667" s="8" t="b">
        <v>0</v>
      </c>
      <c r="G667" s="8">
        <v>806.95</v>
      </c>
      <c r="H667" s="8">
        <v>16191.17</v>
      </c>
      <c r="I667" s="8">
        <v>4868.72</v>
      </c>
      <c r="J667" s="8" t="b">
        <v>0</v>
      </c>
    </row>
    <row r="668" spans="1:10">
      <c r="A668" s="8" t="s">
        <v>95</v>
      </c>
      <c r="B668" s="8" t="s">
        <v>96</v>
      </c>
      <c r="C668" s="8" t="s">
        <v>211</v>
      </c>
      <c r="D668" s="8">
        <v>27623.14</v>
      </c>
      <c r="E668" s="8" t="b">
        <v>0</v>
      </c>
      <c r="F668" s="8" t="b">
        <v>0</v>
      </c>
      <c r="G668" s="8">
        <v>2830.23</v>
      </c>
      <c r="H668" s="8">
        <v>21544.32</v>
      </c>
      <c r="I668" s="8">
        <v>6078.82</v>
      </c>
      <c r="J668" s="8" t="b">
        <v>0</v>
      </c>
    </row>
    <row r="669" spans="1:10">
      <c r="A669" s="8" t="s">
        <v>101</v>
      </c>
      <c r="B669" s="8" t="s">
        <v>102</v>
      </c>
      <c r="C669" s="8" t="s">
        <v>210</v>
      </c>
      <c r="D669" s="8">
        <v>51376.2</v>
      </c>
      <c r="E669" s="8" t="b">
        <v>0</v>
      </c>
      <c r="F669" s="8" t="b">
        <v>0</v>
      </c>
      <c r="G669" s="8">
        <v>4466.76</v>
      </c>
      <c r="H669" s="8">
        <v>47575.37</v>
      </c>
      <c r="I669" s="8">
        <v>3800.83</v>
      </c>
      <c r="J669" s="8" t="b">
        <v>0</v>
      </c>
    </row>
    <row r="670" spans="1:10">
      <c r="A670" s="8" t="s">
        <v>157</v>
      </c>
      <c r="B670" s="8" t="s">
        <v>158</v>
      </c>
      <c r="C670" s="8" t="s">
        <v>208</v>
      </c>
      <c r="D670" s="8">
        <v>333229.65999999997</v>
      </c>
      <c r="E670" s="8" t="b">
        <v>0</v>
      </c>
      <c r="F670" s="8" t="b">
        <v>0</v>
      </c>
      <c r="G670" s="8">
        <v>13480.33</v>
      </c>
      <c r="H670" s="8">
        <v>331922.3</v>
      </c>
      <c r="I670" s="8">
        <v>1307.3599999999999</v>
      </c>
      <c r="J670" s="8" t="b">
        <v>0</v>
      </c>
    </row>
    <row r="671" spans="1:10">
      <c r="A671" s="8" t="s">
        <v>199</v>
      </c>
      <c r="B671" s="8" t="s">
        <v>200</v>
      </c>
      <c r="C671" s="8" t="s">
        <v>207</v>
      </c>
      <c r="D671" s="8">
        <v>510672</v>
      </c>
      <c r="E671" s="8" t="b">
        <v>0</v>
      </c>
      <c r="F671" s="8" t="b">
        <v>0</v>
      </c>
      <c r="G671" s="8">
        <v>59816.42</v>
      </c>
      <c r="H671" s="8">
        <v>468806.01</v>
      </c>
      <c r="I671" s="8">
        <v>41865.99</v>
      </c>
      <c r="J671" s="8" t="b">
        <v>0</v>
      </c>
    </row>
    <row r="672" spans="1:10">
      <c r="A672" s="8" t="s">
        <v>123</v>
      </c>
      <c r="B672" s="8" t="s">
        <v>124</v>
      </c>
      <c r="C672" s="8" t="s">
        <v>212</v>
      </c>
      <c r="D672" s="8">
        <v>17128</v>
      </c>
      <c r="E672" s="8" t="b">
        <v>0</v>
      </c>
      <c r="F672" s="8" t="b">
        <v>0</v>
      </c>
      <c r="G672" s="8">
        <v>0</v>
      </c>
      <c r="H672" s="8">
        <v>16888.32</v>
      </c>
      <c r="I672" s="8">
        <v>239.68</v>
      </c>
      <c r="J672" s="8" t="b">
        <v>0</v>
      </c>
    </row>
    <row r="673" spans="1:10">
      <c r="A673" s="8" t="s">
        <v>147</v>
      </c>
      <c r="B673" s="8" t="s">
        <v>148</v>
      </c>
      <c r="C673" s="8" t="s">
        <v>212</v>
      </c>
      <c r="D673" s="8">
        <v>27848.22</v>
      </c>
      <c r="E673" s="8" t="b">
        <v>0</v>
      </c>
      <c r="F673" s="8" t="b">
        <v>0</v>
      </c>
      <c r="G673" s="8">
        <v>743.22</v>
      </c>
      <c r="H673" s="8">
        <v>27929.94</v>
      </c>
      <c r="I673" s="8">
        <v>-81.72</v>
      </c>
      <c r="J673" s="8" t="b">
        <v>0</v>
      </c>
    </row>
    <row r="674" spans="1:10">
      <c r="A674" s="8" t="s">
        <v>213</v>
      </c>
      <c r="B674" s="8"/>
      <c r="C674" s="8" t="s">
        <v>13</v>
      </c>
      <c r="D674" s="8">
        <v>42000</v>
      </c>
      <c r="E674" s="8" t="b">
        <v>0</v>
      </c>
      <c r="F674" s="8" t="b">
        <v>1</v>
      </c>
      <c r="G674" s="8">
        <v>0</v>
      </c>
      <c r="H674" s="8">
        <v>0</v>
      </c>
      <c r="I674" s="8">
        <v>42000</v>
      </c>
      <c r="J674" s="8" t="b">
        <v>1</v>
      </c>
    </row>
  </sheetData>
  <conditionalFormatting sqref="I1:I1048576">
    <cfRule type="cellIs" dxfId="0" priority="1"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D3E78-DF0B-44B3-8A5E-863A7D591475}">
  <dimension ref="A1:G101"/>
  <sheetViews>
    <sheetView topLeftCell="A137" workbookViewId="0">
      <selection activeCell="C104" sqref="C104"/>
    </sheetView>
  </sheetViews>
  <sheetFormatPr defaultRowHeight="15"/>
  <cols>
    <col min="1" max="1" width="13.42578125" bestFit="1" customWidth="1"/>
    <col min="2" max="2" width="23" style="3" bestFit="1" customWidth="1"/>
    <col min="3" max="3" width="21.28515625" style="3" bestFit="1" customWidth="1"/>
    <col min="4" max="4" width="25.85546875" style="3" bestFit="1" customWidth="1"/>
    <col min="5" max="5" width="25.7109375" style="3" bestFit="1" customWidth="1"/>
    <col min="7" max="7" width="99.7109375" customWidth="1"/>
  </cols>
  <sheetData>
    <row r="1" spans="1:7">
      <c r="A1" s="5" t="s">
        <v>214</v>
      </c>
      <c r="G1" s="5"/>
    </row>
    <row r="2" spans="1:7">
      <c r="A2" t="s">
        <v>215</v>
      </c>
      <c r="G2" s="6"/>
    </row>
    <row r="3" spans="1:7">
      <c r="A3" s="4" t="s">
        <v>0</v>
      </c>
      <c r="B3" s="3" t="s">
        <v>216</v>
      </c>
      <c r="C3" s="3" t="s">
        <v>217</v>
      </c>
      <c r="D3" s="3" t="s">
        <v>218</v>
      </c>
      <c r="E3" s="3" t="s">
        <v>219</v>
      </c>
      <c r="G3" s="6"/>
    </row>
    <row r="4" spans="1:7">
      <c r="A4" t="s">
        <v>11</v>
      </c>
      <c r="B4" s="3">
        <v>1154930.57</v>
      </c>
      <c r="C4" s="3">
        <v>1177455.5900000001</v>
      </c>
      <c r="D4" s="3">
        <v>24996.870000000003</v>
      </c>
      <c r="E4" s="3">
        <v>-22525.02</v>
      </c>
      <c r="G4" s="6"/>
    </row>
    <row r="5" spans="1:7">
      <c r="A5" t="s">
        <v>195</v>
      </c>
      <c r="B5" s="3">
        <v>663600</v>
      </c>
      <c r="C5" s="3">
        <v>638239.17000000016</v>
      </c>
      <c r="D5" s="3">
        <v>36654.28</v>
      </c>
      <c r="E5" s="3">
        <v>25360.829999999998</v>
      </c>
    </row>
    <row r="6" spans="1:7">
      <c r="A6" t="s">
        <v>37</v>
      </c>
      <c r="B6" s="3">
        <v>1509036.96</v>
      </c>
      <c r="C6" s="3">
        <v>1421961.4399999997</v>
      </c>
      <c r="D6" s="3">
        <v>53945.130000000005</v>
      </c>
      <c r="E6" s="3">
        <v>87075.520000000004</v>
      </c>
    </row>
    <row r="7" spans="1:7">
      <c r="A7" t="s">
        <v>15</v>
      </c>
      <c r="B7" s="3">
        <v>927323.09</v>
      </c>
      <c r="C7" s="3">
        <v>872697.08</v>
      </c>
      <c r="D7" s="3">
        <v>60889.279999999999</v>
      </c>
      <c r="E7" s="3">
        <v>54626.01</v>
      </c>
    </row>
    <row r="8" spans="1:7">
      <c r="A8" t="s">
        <v>167</v>
      </c>
      <c r="B8" s="3">
        <v>2474734.23</v>
      </c>
      <c r="C8" s="3">
        <v>2624103.5400000005</v>
      </c>
      <c r="D8" s="3">
        <v>101724.51</v>
      </c>
      <c r="E8" s="3">
        <v>-149369.31000000003</v>
      </c>
    </row>
    <row r="9" spans="1:7">
      <c r="A9" t="s">
        <v>18</v>
      </c>
      <c r="B9" s="3">
        <v>1285700</v>
      </c>
      <c r="C9" s="3">
        <v>1272404.1000000001</v>
      </c>
      <c r="D9" s="3">
        <v>64718.33</v>
      </c>
      <c r="E9" s="3">
        <v>13295.899999999998</v>
      </c>
    </row>
    <row r="10" spans="1:7">
      <c r="A10" t="s">
        <v>97</v>
      </c>
      <c r="B10" s="3">
        <v>2165501.79</v>
      </c>
      <c r="C10" s="3">
        <v>2393915.7300000004</v>
      </c>
      <c r="D10" s="3">
        <v>88843.95</v>
      </c>
      <c r="E10" s="3">
        <v>-228413.94000000003</v>
      </c>
    </row>
    <row r="11" spans="1:7">
      <c r="A11" t="s">
        <v>99</v>
      </c>
      <c r="B11" s="3">
        <v>2319000</v>
      </c>
      <c r="C11" s="3">
        <v>2293222.12</v>
      </c>
      <c r="D11" s="3">
        <v>134111.49</v>
      </c>
      <c r="E11" s="3">
        <v>25777.88</v>
      </c>
    </row>
    <row r="12" spans="1:7">
      <c r="A12" t="s">
        <v>71</v>
      </c>
      <c r="B12" s="3">
        <v>553600</v>
      </c>
      <c r="C12" s="3">
        <v>575122.01</v>
      </c>
      <c r="D12" s="3">
        <v>40356.490000000005</v>
      </c>
      <c r="E12" s="3">
        <v>-21522.01</v>
      </c>
    </row>
    <row r="13" spans="1:7">
      <c r="A13" t="s">
        <v>151</v>
      </c>
      <c r="B13" s="3">
        <v>587790.38</v>
      </c>
      <c r="C13" s="3">
        <v>546572.55000000005</v>
      </c>
      <c r="D13" s="3">
        <v>22273.73</v>
      </c>
      <c r="E13" s="3">
        <v>41217.83</v>
      </c>
    </row>
    <row r="14" spans="1:7">
      <c r="A14" t="s">
        <v>21</v>
      </c>
      <c r="B14" s="3">
        <v>830000</v>
      </c>
      <c r="C14" s="3">
        <v>832088.47000000009</v>
      </c>
      <c r="D14" s="3">
        <v>67406.63</v>
      </c>
      <c r="E14" s="3">
        <v>-2088.4700000000048</v>
      </c>
    </row>
    <row r="15" spans="1:7">
      <c r="A15" t="s">
        <v>87</v>
      </c>
      <c r="B15" s="3">
        <v>1138064.4500000002</v>
      </c>
      <c r="C15" s="3">
        <v>1083674.9000000001</v>
      </c>
      <c r="D15" s="3">
        <v>145762.03999999998</v>
      </c>
      <c r="E15" s="3">
        <v>54389.55</v>
      </c>
    </row>
    <row r="16" spans="1:7">
      <c r="A16" t="s">
        <v>23</v>
      </c>
      <c r="B16" s="3">
        <v>2217400</v>
      </c>
      <c r="C16" s="3">
        <v>2228568.9</v>
      </c>
      <c r="D16" s="3">
        <v>212916.00999999998</v>
      </c>
      <c r="E16" s="3">
        <v>-11168.900000000001</v>
      </c>
    </row>
    <row r="17" spans="1:5">
      <c r="A17" t="s">
        <v>137</v>
      </c>
      <c r="B17" s="3">
        <v>2438200</v>
      </c>
      <c r="C17" s="3">
        <v>2524501.6800000002</v>
      </c>
      <c r="D17" s="3">
        <v>84807.23</v>
      </c>
      <c r="E17" s="3">
        <v>-86301.680000000008</v>
      </c>
    </row>
    <row r="18" spans="1:5">
      <c r="A18" t="s">
        <v>139</v>
      </c>
      <c r="B18" s="3">
        <v>1071040.3400000001</v>
      </c>
      <c r="C18" s="3">
        <v>976945.5</v>
      </c>
      <c r="D18" s="3">
        <v>160062.43000000002</v>
      </c>
      <c r="E18" s="3">
        <v>94094.84</v>
      </c>
    </row>
    <row r="19" spans="1:5">
      <c r="A19" t="s">
        <v>25</v>
      </c>
      <c r="B19" s="3">
        <v>458176.28</v>
      </c>
      <c r="C19" s="3">
        <v>468079.92</v>
      </c>
      <c r="D19" s="3">
        <v>37043.919999999998</v>
      </c>
      <c r="E19" s="3">
        <v>-9903.64</v>
      </c>
    </row>
    <row r="20" spans="1:5">
      <c r="A20" t="s">
        <v>169</v>
      </c>
      <c r="B20" s="3">
        <v>1260793.1200000001</v>
      </c>
      <c r="C20" s="3">
        <v>1308537.06</v>
      </c>
      <c r="D20" s="3">
        <v>100517.57</v>
      </c>
      <c r="E20" s="3">
        <v>-47743.94</v>
      </c>
    </row>
    <row r="21" spans="1:5">
      <c r="A21" t="s">
        <v>125</v>
      </c>
      <c r="B21" s="3">
        <v>1211300</v>
      </c>
      <c r="C21" s="3">
        <v>1232870.3200000003</v>
      </c>
      <c r="D21" s="3">
        <v>115026.29000000001</v>
      </c>
      <c r="E21" s="3">
        <v>-21570.320000000007</v>
      </c>
    </row>
    <row r="22" spans="1:5">
      <c r="A22" t="s">
        <v>181</v>
      </c>
      <c r="B22" s="3">
        <v>423940.65</v>
      </c>
      <c r="C22" s="3">
        <v>441360.19999999995</v>
      </c>
      <c r="D22" s="3">
        <v>34562.68</v>
      </c>
      <c r="E22" s="3">
        <v>-17419.549999999996</v>
      </c>
    </row>
    <row r="23" spans="1:5">
      <c r="A23" t="s">
        <v>101</v>
      </c>
      <c r="B23" s="3">
        <v>757563.93</v>
      </c>
      <c r="C23" s="3">
        <v>728212.0199999999</v>
      </c>
      <c r="D23" s="3">
        <v>46306.340000000004</v>
      </c>
      <c r="E23" s="3">
        <v>29351.909999999996</v>
      </c>
    </row>
    <row r="24" spans="1:5">
      <c r="A24" t="s">
        <v>197</v>
      </c>
      <c r="B24" s="3">
        <v>2073479.8600000003</v>
      </c>
      <c r="C24" s="3">
        <v>2014233.6599999997</v>
      </c>
      <c r="D24" s="3">
        <v>353323.52000000002</v>
      </c>
      <c r="E24" s="3">
        <v>59246.200000000012</v>
      </c>
    </row>
    <row r="25" spans="1:5">
      <c r="A25" t="s">
        <v>171</v>
      </c>
      <c r="B25" s="3">
        <v>2989672.68</v>
      </c>
      <c r="C25" s="3">
        <v>2822847.5999999996</v>
      </c>
      <c r="D25" s="3">
        <v>308204.53000000003</v>
      </c>
      <c r="E25" s="3">
        <v>166825.07999999999</v>
      </c>
    </row>
    <row r="26" spans="1:5">
      <c r="A26" t="s">
        <v>77</v>
      </c>
      <c r="B26" s="3">
        <v>2552700</v>
      </c>
      <c r="C26" s="3">
        <v>2699149.2800000003</v>
      </c>
      <c r="D26" s="3">
        <v>144693.86000000002</v>
      </c>
      <c r="E26" s="3">
        <v>-146449.28</v>
      </c>
    </row>
    <row r="27" spans="1:5">
      <c r="A27" t="s">
        <v>157</v>
      </c>
      <c r="B27" s="3">
        <v>1192402.46</v>
      </c>
      <c r="C27" s="3">
        <v>1128475.1399999999</v>
      </c>
      <c r="D27" s="3">
        <v>140650.19999999998</v>
      </c>
      <c r="E27" s="3">
        <v>63927.320000000007</v>
      </c>
    </row>
    <row r="28" spans="1:5">
      <c r="A28" t="s">
        <v>127</v>
      </c>
      <c r="B28" s="3">
        <v>2269346.5100000002</v>
      </c>
      <c r="C28" s="3">
        <v>2183534.66</v>
      </c>
      <c r="D28" s="3">
        <v>217488.15</v>
      </c>
      <c r="E28" s="3">
        <v>85811.849999999991</v>
      </c>
    </row>
    <row r="29" spans="1:5">
      <c r="A29" t="s">
        <v>29</v>
      </c>
      <c r="B29" s="3">
        <v>3038853.6799999997</v>
      </c>
      <c r="C29" s="3">
        <v>2857957.99</v>
      </c>
      <c r="D29" s="3">
        <v>260263.11</v>
      </c>
      <c r="E29" s="3">
        <v>180895.69</v>
      </c>
    </row>
    <row r="30" spans="1:5">
      <c r="A30" t="s">
        <v>183</v>
      </c>
      <c r="B30" s="3">
        <v>1765972.65</v>
      </c>
      <c r="C30" s="3">
        <v>1735069.79</v>
      </c>
      <c r="D30" s="3">
        <v>186618.90000000002</v>
      </c>
      <c r="E30" s="3">
        <v>30902.860000000008</v>
      </c>
    </row>
    <row r="31" spans="1:5">
      <c r="A31" t="s">
        <v>103</v>
      </c>
      <c r="B31" s="3">
        <v>236085.68999999997</v>
      </c>
      <c r="C31" s="3">
        <v>219591.39</v>
      </c>
      <c r="D31" s="3">
        <v>17272.179999999997</v>
      </c>
      <c r="E31" s="3">
        <v>16494.3</v>
      </c>
    </row>
    <row r="32" spans="1:5">
      <c r="A32" t="s">
        <v>73</v>
      </c>
      <c r="B32" s="3">
        <v>847381.86999999988</v>
      </c>
      <c r="C32" s="3">
        <v>814129.51</v>
      </c>
      <c r="D32" s="3">
        <v>104413.03</v>
      </c>
      <c r="E32" s="3">
        <v>33252.359999999993</v>
      </c>
    </row>
    <row r="33" spans="1:5">
      <c r="A33" t="s">
        <v>141</v>
      </c>
      <c r="B33" s="3">
        <v>1831501.3699999999</v>
      </c>
      <c r="C33" s="3">
        <v>1708619.9200000002</v>
      </c>
      <c r="D33" s="3">
        <v>231851.4</v>
      </c>
      <c r="E33" s="3">
        <v>122881.44999999998</v>
      </c>
    </row>
    <row r="34" spans="1:5">
      <c r="A34" t="s">
        <v>79</v>
      </c>
      <c r="B34" s="3">
        <v>531000</v>
      </c>
      <c r="C34" s="3">
        <v>543041.85</v>
      </c>
      <c r="D34" s="3">
        <v>39648.03</v>
      </c>
      <c r="E34" s="3">
        <v>-12041.85</v>
      </c>
    </row>
    <row r="35" spans="1:5">
      <c r="A35" t="s">
        <v>129</v>
      </c>
      <c r="B35" s="3">
        <v>1849089.9700000002</v>
      </c>
      <c r="C35" s="3">
        <v>2033343.8299999998</v>
      </c>
      <c r="D35" s="3">
        <v>97366.62000000001</v>
      </c>
      <c r="E35" s="3">
        <v>-184253.86000000002</v>
      </c>
    </row>
    <row r="36" spans="1:5">
      <c r="A36" t="s">
        <v>27</v>
      </c>
      <c r="B36" s="3">
        <v>850500</v>
      </c>
      <c r="C36" s="3">
        <v>848174.39</v>
      </c>
      <c r="D36" s="3">
        <v>8258.18</v>
      </c>
      <c r="E36" s="3">
        <v>2325.6099999999992</v>
      </c>
    </row>
    <row r="37" spans="1:5">
      <c r="A37" t="s">
        <v>39</v>
      </c>
      <c r="B37" s="3">
        <v>537400</v>
      </c>
      <c r="C37" s="3">
        <v>513646</v>
      </c>
      <c r="D37" s="3">
        <v>69869.840000000011</v>
      </c>
      <c r="E37" s="3">
        <v>23754.000000000004</v>
      </c>
    </row>
    <row r="38" spans="1:5">
      <c r="A38" t="s">
        <v>89</v>
      </c>
      <c r="B38" s="3">
        <v>1041900</v>
      </c>
      <c r="C38" s="3">
        <v>1006807.9999999999</v>
      </c>
      <c r="D38" s="3">
        <v>85821.650000000009</v>
      </c>
      <c r="E38" s="3">
        <v>35092</v>
      </c>
    </row>
    <row r="39" spans="1:5">
      <c r="A39" t="s">
        <v>199</v>
      </c>
      <c r="B39" s="3">
        <v>2127800</v>
      </c>
      <c r="C39" s="3">
        <v>2057515.5799999998</v>
      </c>
      <c r="D39" s="3">
        <v>109317.06</v>
      </c>
      <c r="E39" s="3">
        <v>70284.42</v>
      </c>
    </row>
    <row r="40" spans="1:5">
      <c r="A40" t="s">
        <v>143</v>
      </c>
      <c r="B40" s="3">
        <v>994626.33</v>
      </c>
      <c r="C40" s="3">
        <v>928955.66999999993</v>
      </c>
      <c r="D40" s="3">
        <v>135034.27000000002</v>
      </c>
      <c r="E40" s="3">
        <v>65670.66</v>
      </c>
    </row>
    <row r="41" spans="1:5">
      <c r="A41" t="s">
        <v>41</v>
      </c>
      <c r="B41" s="3">
        <v>642650.22</v>
      </c>
      <c r="C41" s="3">
        <v>678078.46</v>
      </c>
      <c r="D41" s="3">
        <v>23344.920000000006</v>
      </c>
      <c r="E41" s="3">
        <v>-35428.239999999998</v>
      </c>
    </row>
    <row r="42" spans="1:5">
      <c r="A42" t="s">
        <v>43</v>
      </c>
      <c r="B42" s="3">
        <v>580900</v>
      </c>
      <c r="C42" s="3">
        <v>599908.71</v>
      </c>
      <c r="D42" s="3">
        <v>18521.599999999999</v>
      </c>
      <c r="E42" s="3">
        <v>-19008.71</v>
      </c>
    </row>
    <row r="43" spans="1:5">
      <c r="A43" t="s">
        <v>131</v>
      </c>
      <c r="B43" s="3">
        <v>1064777.77</v>
      </c>
      <c r="C43" s="3">
        <v>999514.5199999999</v>
      </c>
      <c r="D43" s="3">
        <v>49503.59</v>
      </c>
      <c r="E43" s="3">
        <v>65263.25</v>
      </c>
    </row>
    <row r="44" spans="1:5">
      <c r="A44" t="s">
        <v>119</v>
      </c>
      <c r="B44" s="3">
        <v>1498434.0299999998</v>
      </c>
      <c r="C44" s="3">
        <v>1486807.21</v>
      </c>
      <c r="D44" s="3">
        <v>95694.09</v>
      </c>
      <c r="E44" s="3">
        <v>11626.820000000003</v>
      </c>
    </row>
    <row r="45" spans="1:5">
      <c r="A45" t="s">
        <v>185</v>
      </c>
      <c r="B45" s="3">
        <v>2078132.21</v>
      </c>
      <c r="C45" s="3">
        <v>2273129.31</v>
      </c>
      <c r="D45" s="3">
        <v>47497.55</v>
      </c>
      <c r="E45" s="3">
        <v>-194997.1</v>
      </c>
    </row>
    <row r="46" spans="1:5">
      <c r="A46" t="s">
        <v>105</v>
      </c>
      <c r="B46" s="3">
        <v>928945.46000000008</v>
      </c>
      <c r="C46" s="3">
        <v>861589.1</v>
      </c>
      <c r="D46" s="3">
        <v>92484.42</v>
      </c>
      <c r="E46" s="3">
        <v>67356.36</v>
      </c>
    </row>
    <row r="47" spans="1:5">
      <c r="A47" t="s">
        <v>81</v>
      </c>
      <c r="B47" s="3">
        <v>460400</v>
      </c>
      <c r="C47" s="3">
        <v>457577.89</v>
      </c>
      <c r="D47" s="3">
        <v>30478.340000000004</v>
      </c>
      <c r="E47" s="3">
        <v>2822.1100000000015</v>
      </c>
    </row>
    <row r="48" spans="1:5">
      <c r="A48" t="s">
        <v>187</v>
      </c>
      <c r="B48" s="3">
        <v>1176000</v>
      </c>
      <c r="C48" s="3">
        <v>1084344</v>
      </c>
      <c r="D48" s="3">
        <v>27130.9</v>
      </c>
      <c r="E48" s="3">
        <v>91656</v>
      </c>
    </row>
    <row r="49" spans="1:5">
      <c r="A49" t="s">
        <v>107</v>
      </c>
      <c r="B49" s="3">
        <v>1027183.74</v>
      </c>
      <c r="C49" s="3">
        <v>1026156.2200000001</v>
      </c>
      <c r="D49" s="3">
        <v>91158.01999999999</v>
      </c>
      <c r="E49" s="3">
        <v>1027.5199999999945</v>
      </c>
    </row>
    <row r="50" spans="1:5">
      <c r="A50" t="s">
        <v>83</v>
      </c>
      <c r="B50" s="3">
        <v>2261400</v>
      </c>
      <c r="C50" s="3">
        <v>2195699.2800000003</v>
      </c>
      <c r="D50" s="3">
        <v>135520.91999999998</v>
      </c>
      <c r="E50" s="3">
        <v>65700.72</v>
      </c>
    </row>
    <row r="51" spans="1:5">
      <c r="A51" t="s">
        <v>59</v>
      </c>
      <c r="B51" s="3">
        <v>523567.94</v>
      </c>
      <c r="C51" s="3">
        <v>532596.57000000007</v>
      </c>
      <c r="D51" s="3">
        <v>30180.809999999998</v>
      </c>
      <c r="E51" s="3">
        <v>-9028.630000000001</v>
      </c>
    </row>
    <row r="52" spans="1:5">
      <c r="A52" t="s">
        <v>61</v>
      </c>
      <c r="B52" s="3">
        <v>1039157.1</v>
      </c>
      <c r="C52" s="3">
        <v>1100140.44</v>
      </c>
      <c r="D52" s="3">
        <v>75864.26999999999</v>
      </c>
      <c r="E52" s="3">
        <v>-60983.34</v>
      </c>
    </row>
    <row r="53" spans="1:5">
      <c r="A53" t="s">
        <v>121</v>
      </c>
      <c r="B53" s="3">
        <v>1078754.9099999999</v>
      </c>
      <c r="C53" s="3">
        <v>1117510.1900000002</v>
      </c>
      <c r="D53" s="3">
        <v>73014.98</v>
      </c>
      <c r="E53" s="3">
        <v>-38755.279999999999</v>
      </c>
    </row>
    <row r="54" spans="1:5">
      <c r="A54" t="s">
        <v>123</v>
      </c>
      <c r="B54" s="3">
        <v>428200</v>
      </c>
      <c r="C54" s="3">
        <v>433595.86</v>
      </c>
      <c r="D54" s="3">
        <v>9667.7999999999993</v>
      </c>
      <c r="E54" s="3">
        <v>-5395.8600000000006</v>
      </c>
    </row>
    <row r="55" spans="1:5">
      <c r="A55" t="s">
        <v>153</v>
      </c>
      <c r="B55" s="3">
        <v>1648060.0199999998</v>
      </c>
      <c r="C55" s="3">
        <v>1651201.9700000002</v>
      </c>
      <c r="D55" s="3">
        <v>81428.180000000008</v>
      </c>
      <c r="E55" s="3">
        <v>-3141.9499999999898</v>
      </c>
    </row>
    <row r="56" spans="1:5">
      <c r="A56" t="s">
        <v>189</v>
      </c>
      <c r="B56" s="3">
        <v>1527582.7599999998</v>
      </c>
      <c r="C56" s="3">
        <v>1441327.1800000002</v>
      </c>
      <c r="D56" s="3">
        <v>164529.47</v>
      </c>
      <c r="E56" s="3">
        <v>86255.579999999987</v>
      </c>
    </row>
    <row r="57" spans="1:5">
      <c r="A57" t="s">
        <v>85</v>
      </c>
      <c r="B57" s="3">
        <v>417571.3</v>
      </c>
      <c r="C57" s="3">
        <v>399216.85000000003</v>
      </c>
      <c r="D57" s="3">
        <v>2975.83</v>
      </c>
      <c r="E57" s="3">
        <v>18354.45</v>
      </c>
    </row>
    <row r="58" spans="1:5">
      <c r="A58" t="s">
        <v>75</v>
      </c>
      <c r="B58" s="3">
        <v>1274300</v>
      </c>
      <c r="C58" s="3">
        <v>1344771.28</v>
      </c>
      <c r="D58" s="3">
        <v>83011.78</v>
      </c>
      <c r="E58" s="3">
        <v>-70471.28</v>
      </c>
    </row>
    <row r="59" spans="1:5">
      <c r="A59" t="s">
        <v>109</v>
      </c>
      <c r="B59" s="3">
        <v>359011.26</v>
      </c>
      <c r="C59" s="3">
        <v>331885.82</v>
      </c>
      <c r="D59" s="3">
        <v>13087.19</v>
      </c>
      <c r="E59" s="3">
        <v>27125.440000000002</v>
      </c>
    </row>
    <row r="60" spans="1:5">
      <c r="A60" t="s">
        <v>173</v>
      </c>
      <c r="B60" s="3">
        <v>791800</v>
      </c>
      <c r="C60" s="3">
        <v>792104.82000000007</v>
      </c>
      <c r="D60" s="3">
        <v>31174.080000000002</v>
      </c>
      <c r="E60" s="3">
        <v>-304.81999999999971</v>
      </c>
    </row>
    <row r="61" spans="1:5">
      <c r="A61" t="s">
        <v>45</v>
      </c>
      <c r="B61" s="3">
        <v>396100</v>
      </c>
      <c r="C61" s="3">
        <v>389854.51</v>
      </c>
      <c r="D61" s="3">
        <v>17059.47</v>
      </c>
      <c r="E61" s="3">
        <v>6245.4900000000007</v>
      </c>
    </row>
    <row r="62" spans="1:5">
      <c r="A62" t="s">
        <v>175</v>
      </c>
      <c r="B62" s="3">
        <v>520500</v>
      </c>
      <c r="C62" s="3">
        <v>531568.85</v>
      </c>
      <c r="D62" s="3">
        <v>39755.270000000004</v>
      </c>
      <c r="E62" s="3">
        <v>-11068.850000000002</v>
      </c>
    </row>
    <row r="63" spans="1:5">
      <c r="A63" t="s">
        <v>177</v>
      </c>
      <c r="B63" s="3">
        <v>1397448.43</v>
      </c>
      <c r="C63" s="3">
        <v>1304538.99</v>
      </c>
      <c r="D63" s="3">
        <v>114040.9</v>
      </c>
      <c r="E63" s="3">
        <v>92909.440000000002</v>
      </c>
    </row>
    <row r="64" spans="1:5">
      <c r="A64" t="s">
        <v>91</v>
      </c>
      <c r="B64" s="3">
        <v>2360521.9200000004</v>
      </c>
      <c r="C64" s="3">
        <v>2468218.3299999996</v>
      </c>
      <c r="D64" s="3">
        <v>190697.64</v>
      </c>
      <c r="E64" s="3">
        <v>-107696.41</v>
      </c>
    </row>
    <row r="65" spans="1:5">
      <c r="A65" t="s">
        <v>201</v>
      </c>
      <c r="B65" s="3">
        <v>2489140.62</v>
      </c>
      <c r="C65" s="3">
        <v>2655296.58</v>
      </c>
      <c r="D65" s="3">
        <v>140937.04</v>
      </c>
      <c r="E65" s="3">
        <v>-166155.96000000002</v>
      </c>
    </row>
    <row r="66" spans="1:5">
      <c r="A66" t="s">
        <v>47</v>
      </c>
      <c r="B66" s="3">
        <v>1080292.1599999999</v>
      </c>
      <c r="C66" s="3">
        <v>1104070.7700000003</v>
      </c>
      <c r="D66" s="3">
        <v>88702.180000000008</v>
      </c>
      <c r="E66" s="3">
        <v>-23778.61</v>
      </c>
    </row>
    <row r="67" spans="1:5">
      <c r="A67" t="s">
        <v>133</v>
      </c>
      <c r="B67" s="3">
        <v>1362371.58</v>
      </c>
      <c r="C67" s="3">
        <v>1297858.8799999999</v>
      </c>
      <c r="D67" s="3">
        <v>73764.289999999994</v>
      </c>
      <c r="E67" s="3">
        <v>64512.7</v>
      </c>
    </row>
    <row r="68" spans="1:5">
      <c r="A68" t="s">
        <v>111</v>
      </c>
      <c r="B68" s="3">
        <v>678600</v>
      </c>
      <c r="C68" s="3">
        <v>674909.21</v>
      </c>
      <c r="D68" s="3">
        <v>48958.07</v>
      </c>
      <c r="E68" s="3">
        <v>3690.7900000000036</v>
      </c>
    </row>
    <row r="69" spans="1:5">
      <c r="A69" t="s">
        <v>49</v>
      </c>
      <c r="B69" s="3">
        <v>596118.64000000013</v>
      </c>
      <c r="C69" s="3">
        <v>534972.88</v>
      </c>
      <c r="D69" s="3">
        <v>35086.28</v>
      </c>
      <c r="E69" s="3">
        <v>61145.760000000002</v>
      </c>
    </row>
    <row r="70" spans="1:5">
      <c r="A70" t="s">
        <v>145</v>
      </c>
      <c r="B70" s="3">
        <v>593662.9</v>
      </c>
      <c r="C70" s="3">
        <v>519309.44000000006</v>
      </c>
      <c r="D70" s="3">
        <v>77877.01999999999</v>
      </c>
      <c r="E70" s="3">
        <v>74353.460000000006</v>
      </c>
    </row>
    <row r="71" spans="1:5">
      <c r="A71" t="s">
        <v>63</v>
      </c>
      <c r="B71" s="3">
        <v>864389.17</v>
      </c>
      <c r="C71" s="3">
        <v>890175.89</v>
      </c>
      <c r="D71" s="3">
        <v>11844.77</v>
      </c>
      <c r="E71" s="3">
        <v>-25786.719999999998</v>
      </c>
    </row>
    <row r="72" spans="1:5">
      <c r="A72" t="s">
        <v>147</v>
      </c>
      <c r="B72" s="3">
        <v>681010.82</v>
      </c>
      <c r="C72" s="3">
        <v>692104.38</v>
      </c>
      <c r="D72" s="3">
        <v>49722.95</v>
      </c>
      <c r="E72" s="3">
        <v>-11093.56</v>
      </c>
    </row>
    <row r="73" spans="1:5">
      <c r="A73" t="s">
        <v>159</v>
      </c>
      <c r="B73" s="3">
        <v>1245975.29</v>
      </c>
      <c r="C73" s="3">
        <v>1339350.6400000001</v>
      </c>
      <c r="D73" s="3">
        <v>43682.57</v>
      </c>
      <c r="E73" s="3">
        <v>-93375.35</v>
      </c>
    </row>
    <row r="74" spans="1:5">
      <c r="A74" t="s">
        <v>93</v>
      </c>
      <c r="B74" s="3">
        <v>658823.04</v>
      </c>
      <c r="C74" s="3">
        <v>674763.91999999993</v>
      </c>
      <c r="D74" s="3">
        <v>35750.43</v>
      </c>
      <c r="E74" s="3">
        <v>-15940.879999999997</v>
      </c>
    </row>
    <row r="75" spans="1:5">
      <c r="A75" t="s">
        <v>161</v>
      </c>
      <c r="B75" s="3">
        <v>1042797.57</v>
      </c>
      <c r="C75" s="3">
        <v>1102251.42</v>
      </c>
      <c r="D75" s="3">
        <v>113950.31</v>
      </c>
      <c r="E75" s="3">
        <v>-59453.850000000006</v>
      </c>
    </row>
    <row r="76" spans="1:5">
      <c r="A76" t="s">
        <v>163</v>
      </c>
      <c r="B76" s="3">
        <v>1886300</v>
      </c>
      <c r="C76" s="3">
        <v>1943210.82</v>
      </c>
      <c r="D76" s="3">
        <v>147326.15</v>
      </c>
      <c r="E76" s="3">
        <v>-56910.819999999992</v>
      </c>
    </row>
    <row r="77" spans="1:5">
      <c r="A77" t="s">
        <v>65</v>
      </c>
      <c r="B77" s="3">
        <v>1299500</v>
      </c>
      <c r="C77" s="3">
        <v>1251433.8500000001</v>
      </c>
      <c r="D77" s="3">
        <v>67556.460000000006</v>
      </c>
      <c r="E77" s="3">
        <v>48066.15</v>
      </c>
    </row>
    <row r="78" spans="1:5">
      <c r="A78" t="s">
        <v>113</v>
      </c>
      <c r="B78" s="3">
        <v>2086600</v>
      </c>
      <c r="C78" s="3">
        <v>2010784.1</v>
      </c>
      <c r="D78" s="3">
        <v>57085.97</v>
      </c>
      <c r="E78" s="3">
        <v>75815.900000000009</v>
      </c>
    </row>
    <row r="79" spans="1:5">
      <c r="A79" t="s">
        <v>51</v>
      </c>
      <c r="B79" s="3">
        <v>1097440.52</v>
      </c>
      <c r="C79" s="3">
        <v>913676.48</v>
      </c>
      <c r="D79" s="3">
        <v>70506.31</v>
      </c>
      <c r="E79" s="3">
        <v>183764.04</v>
      </c>
    </row>
    <row r="80" spans="1:5">
      <c r="A80" t="s">
        <v>31</v>
      </c>
      <c r="B80" s="3">
        <v>896945.86</v>
      </c>
      <c r="C80" s="3">
        <v>691020.75</v>
      </c>
      <c r="D80" s="3">
        <v>84859.62</v>
      </c>
      <c r="E80" s="3">
        <v>205925.11</v>
      </c>
    </row>
    <row r="81" spans="1:5">
      <c r="A81" t="s">
        <v>53</v>
      </c>
      <c r="B81" s="3">
        <v>1244999.45</v>
      </c>
      <c r="C81" s="3">
        <v>1046268.4299999999</v>
      </c>
      <c r="D81" s="3">
        <v>44632.130000000005</v>
      </c>
      <c r="E81" s="3">
        <v>198731.01999999996</v>
      </c>
    </row>
    <row r="82" spans="1:5">
      <c r="A82" t="s">
        <v>179</v>
      </c>
      <c r="B82" s="3">
        <v>1276800</v>
      </c>
      <c r="C82" s="3">
        <v>1007513.15</v>
      </c>
      <c r="D82" s="3">
        <v>191383.75</v>
      </c>
      <c r="E82" s="3">
        <v>269286.84999999998</v>
      </c>
    </row>
    <row r="83" spans="1:5">
      <c r="A83" t="s">
        <v>115</v>
      </c>
      <c r="B83" s="3">
        <v>436600</v>
      </c>
      <c r="C83" s="3">
        <v>339826.16000000003</v>
      </c>
      <c r="D83" s="3">
        <v>23290.390000000003</v>
      </c>
      <c r="E83" s="3">
        <v>96773.84</v>
      </c>
    </row>
    <row r="84" spans="1:5">
      <c r="A84" t="s">
        <v>203</v>
      </c>
      <c r="B84" s="3">
        <v>756500</v>
      </c>
      <c r="C84" s="3">
        <v>527951.12</v>
      </c>
      <c r="D84" s="3">
        <v>41987.590000000004</v>
      </c>
      <c r="E84" s="3">
        <v>228548.88</v>
      </c>
    </row>
    <row r="85" spans="1:5">
      <c r="A85" t="s">
        <v>205</v>
      </c>
      <c r="B85" s="3">
        <v>1545279.1400000004</v>
      </c>
      <c r="C85" s="3">
        <v>1457701.82</v>
      </c>
      <c r="D85" s="3">
        <v>73863.569999999992</v>
      </c>
      <c r="E85" s="3">
        <v>87577.32</v>
      </c>
    </row>
    <row r="86" spans="1:5">
      <c r="A86" t="s">
        <v>33</v>
      </c>
      <c r="B86" s="3">
        <v>1115000</v>
      </c>
      <c r="C86" s="3">
        <v>1121480.8900000001</v>
      </c>
      <c r="D86" s="3">
        <v>28894.370000000003</v>
      </c>
      <c r="E86" s="3">
        <v>-6480.8899999999958</v>
      </c>
    </row>
    <row r="87" spans="1:5">
      <c r="A87" t="s">
        <v>67</v>
      </c>
      <c r="B87" s="3">
        <v>917500</v>
      </c>
      <c r="C87" s="3">
        <v>730068.5</v>
      </c>
      <c r="D87" s="3">
        <v>81659.820000000007</v>
      </c>
      <c r="E87" s="3">
        <v>187431.5</v>
      </c>
    </row>
    <row r="88" spans="1:5">
      <c r="A88" t="s">
        <v>191</v>
      </c>
      <c r="B88" s="3">
        <v>900247.42999999993</v>
      </c>
      <c r="C88" s="3">
        <v>813023.23</v>
      </c>
      <c r="D88" s="3">
        <v>42534.44</v>
      </c>
      <c r="E88" s="3">
        <v>87224.200000000012</v>
      </c>
    </row>
    <row r="89" spans="1:5">
      <c r="A89" t="s">
        <v>165</v>
      </c>
      <c r="B89" s="3">
        <v>401900</v>
      </c>
      <c r="C89" s="3">
        <v>248358.36000000002</v>
      </c>
      <c r="D89" s="3">
        <v>7996.96</v>
      </c>
      <c r="E89" s="3">
        <v>153541.64000000001</v>
      </c>
    </row>
    <row r="90" spans="1:5">
      <c r="A90" t="s">
        <v>69</v>
      </c>
      <c r="B90" s="3">
        <v>2341362.63</v>
      </c>
      <c r="C90" s="3">
        <v>1016526.72</v>
      </c>
      <c r="D90" s="3">
        <v>71882.31</v>
      </c>
      <c r="E90" s="3">
        <v>1324835.9100000001</v>
      </c>
    </row>
    <row r="91" spans="1:5">
      <c r="A91" t="s">
        <v>193</v>
      </c>
      <c r="B91" s="3">
        <v>703194.65</v>
      </c>
      <c r="C91" s="3">
        <v>531133.49</v>
      </c>
      <c r="D91" s="3">
        <v>35514.299999999996</v>
      </c>
      <c r="E91" s="3">
        <v>172061.16</v>
      </c>
    </row>
    <row r="92" spans="1:5">
      <c r="A92" t="s">
        <v>155</v>
      </c>
      <c r="B92" s="3">
        <v>978700</v>
      </c>
      <c r="C92" s="3">
        <v>127226.00999999998</v>
      </c>
      <c r="D92" s="3">
        <v>7164.77</v>
      </c>
      <c r="E92" s="3">
        <v>851473.99</v>
      </c>
    </row>
    <row r="93" spans="1:5">
      <c r="A93" t="s">
        <v>95</v>
      </c>
      <c r="B93" s="3">
        <v>935957.27999999991</v>
      </c>
      <c r="C93" s="3">
        <v>790517.76000000001</v>
      </c>
      <c r="D93" s="3">
        <v>96089.04</v>
      </c>
      <c r="E93" s="3">
        <v>145439.52000000002</v>
      </c>
    </row>
    <row r="94" spans="1:5">
      <c r="A94" t="s">
        <v>55</v>
      </c>
      <c r="B94" s="3">
        <v>1850308.3299999998</v>
      </c>
      <c r="C94" s="3">
        <v>1615819.1</v>
      </c>
      <c r="D94" s="3">
        <v>84357.650000000009</v>
      </c>
      <c r="E94" s="3">
        <v>234489.22999999998</v>
      </c>
    </row>
    <row r="95" spans="1:5">
      <c r="A95" t="s">
        <v>135</v>
      </c>
      <c r="B95" s="3">
        <v>815777.46</v>
      </c>
      <c r="C95" s="3">
        <v>768236.8600000001</v>
      </c>
      <c r="D95" s="3">
        <v>11528.5</v>
      </c>
      <c r="E95" s="3">
        <v>47540.6</v>
      </c>
    </row>
    <row r="96" spans="1:5">
      <c r="A96" t="s">
        <v>57</v>
      </c>
      <c r="B96" s="3">
        <v>2457900</v>
      </c>
      <c r="C96" s="3">
        <v>1720860.62</v>
      </c>
      <c r="D96" s="3">
        <v>171610.50999999998</v>
      </c>
      <c r="E96" s="3">
        <v>737039.38</v>
      </c>
    </row>
    <row r="97" spans="1:5">
      <c r="A97" t="s">
        <v>117</v>
      </c>
      <c r="B97" s="3">
        <v>1888931.1999999997</v>
      </c>
      <c r="C97" s="3">
        <v>904391.81</v>
      </c>
      <c r="D97" s="3">
        <v>34950.300000000003</v>
      </c>
      <c r="E97" s="3">
        <v>984539.39</v>
      </c>
    </row>
    <row r="98" spans="1:5">
      <c r="A98" t="s">
        <v>35</v>
      </c>
      <c r="B98" s="3">
        <v>530000</v>
      </c>
      <c r="C98" s="3">
        <v>397469.13999999996</v>
      </c>
      <c r="D98" s="3">
        <v>30577.710000000003</v>
      </c>
      <c r="E98" s="3">
        <v>132530.85999999999</v>
      </c>
    </row>
    <row r="99" spans="1:5">
      <c r="A99" t="s">
        <v>149</v>
      </c>
      <c r="B99" s="3">
        <v>2207100</v>
      </c>
      <c r="C99" s="3">
        <v>669547.59</v>
      </c>
      <c r="D99" s="3">
        <v>53277.32</v>
      </c>
      <c r="E99" s="3">
        <v>1537552.41</v>
      </c>
    </row>
    <row r="100" spans="1:5">
      <c r="A100" t="s">
        <v>213</v>
      </c>
      <c r="B100" s="3">
        <v>42000</v>
      </c>
      <c r="C100" s="3">
        <v>0</v>
      </c>
      <c r="D100" s="3">
        <v>0</v>
      </c>
      <c r="E100" s="3">
        <v>42000</v>
      </c>
    </row>
    <row r="101" spans="1:5">
      <c r="A101" t="s">
        <v>220</v>
      </c>
      <c r="B101" s="3">
        <v>119564833.67000002</v>
      </c>
      <c r="C101" s="3">
        <v>111386073.68999997</v>
      </c>
      <c r="D101" s="3">
        <v>7961647.5999999968</v>
      </c>
      <c r="E101" s="3">
        <v>8178759.9800000014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7423F-AFDA-4ADD-AD36-B3C7CC7A9601}">
  <dimension ref="A1:D8"/>
  <sheetViews>
    <sheetView workbookViewId="0">
      <selection activeCell="A9" sqref="A9"/>
    </sheetView>
  </sheetViews>
  <sheetFormatPr defaultRowHeight="15"/>
  <cols>
    <col min="1" max="1" width="60.28515625" style="6" customWidth="1"/>
  </cols>
  <sheetData>
    <row r="1" spans="1:4">
      <c r="A1" s="7" t="s">
        <v>221</v>
      </c>
    </row>
    <row r="2" spans="1:4" ht="76.5">
      <c r="A2" s="6" t="s">
        <v>222</v>
      </c>
    </row>
    <row r="3" spans="1:4" ht="45.75">
      <c r="A3" s="6" t="s">
        <v>223</v>
      </c>
    </row>
    <row r="4" spans="1:4" ht="30.75">
      <c r="A4" s="6" t="s">
        <v>224</v>
      </c>
    </row>
    <row r="5" spans="1:4" s="6" customFormat="1" ht="45.75">
      <c r="A5" s="6" t="s">
        <v>225</v>
      </c>
    </row>
    <row r="6" spans="1:4" ht="30.75">
      <c r="A6" s="6" t="s">
        <v>226</v>
      </c>
    </row>
    <row r="7" spans="1:4" ht="58.5" customHeight="1">
      <c r="A7" s="6" t="s">
        <v>227</v>
      </c>
    </row>
    <row r="8" spans="1:4">
      <c r="D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2026-09-15T05:59:05Z</dcterms:created>
  <dcterms:modified xsi:type="dcterms:W3CDTF">2026-10-10T21:44:13Z</dcterms:modified>
  <cp:category/>
  <cp:contentStatus/>
</cp:coreProperties>
</file>